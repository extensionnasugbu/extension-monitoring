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4"/>
  <workbookPr/>
  <mc:AlternateContent xmlns:mc="http://schemas.openxmlformats.org/markup-compatibility/2006">
    <mc:Choice Requires="x15">
      <x15ac:absPath xmlns:x15ac="http://schemas.microsoft.com/office/spreadsheetml/2010/11/ac" url="/Users/nmd/Downloads/"/>
    </mc:Choice>
  </mc:AlternateContent>
  <xr:revisionPtr revIDLastSave="0" documentId="13_ncr:1_{B070145F-AE49-5B43-A7BF-7C4EFF2EA1FE}" xr6:coauthVersionLast="47" xr6:coauthVersionMax="47" xr10:uidLastSave="{00000000-0000-0000-0000-000000000000}"/>
  <bookViews>
    <workbookView xWindow="0" yWindow="660" windowWidth="30240" windowHeight="17720" activeTab="4" xr2:uid="{00000000-000D-0000-FFFF-FFFF00000000}"/>
  </bookViews>
  <sheets>
    <sheet name="CONSOLIDATED_PERFORMANCE" sheetId="7" r:id="rId1"/>
    <sheet name="REF_CICS" sheetId="1" r:id="rId2"/>
    <sheet name="REF_CHS" sheetId="3" r:id="rId3"/>
    <sheet name="REF_CTE" sheetId="5" r:id="rId4"/>
    <sheet name="REF_CABEIHM" sheetId="8" r:id="rId5"/>
    <sheet name="REF_CAS" sheetId="11" r:id="rId6"/>
    <sheet name="REF_CCJE" sheetId="12" r:id="rId7"/>
    <sheet name="REF_LAB_SCHOOL" sheetId="4" r:id="rId8"/>
  </sheets>
  <definedNames>
    <definedName name="ICT_Q">#REF!</definedName>
    <definedName name="_xlnm.Print_Area" localSheetId="0">CONSOLIDATED_PERFORMANCE!$A$1:$H$22</definedName>
    <definedName name="_xlnm.Print_Area" localSheetId="4">REF_CABEIHM!$A$1:$H$317</definedName>
    <definedName name="_xlnm.Print_Area" localSheetId="5">REF_CAS!$A$1:$H$288</definedName>
    <definedName name="_xlnm.Print_Area" localSheetId="6">REF_CCJE!$A$1:$H$80</definedName>
    <definedName name="_xlnm.Print_Area" localSheetId="2">REF_CHS!$A$1:$H$96</definedName>
    <definedName name="_xlnm.Print_Area" localSheetId="1">REF_CICS!$A$1:$H$79</definedName>
    <definedName name="_xlnm.Print_Area" localSheetId="3">REF_CTE!$A$1:$H$166</definedName>
    <definedName name="_xlnm.Print_Area" localSheetId="7">REF_LAB_SCHOOL!$A$1:$H$98</definedName>
    <definedName name="Quality">#REF!</definedName>
    <definedName name="Success_Indicator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0" i="5" l="1"/>
  <c r="H79" i="5"/>
  <c r="H68" i="5" l="1"/>
  <c r="H31" i="5" l="1"/>
  <c r="F16" i="4"/>
  <c r="F15" i="12"/>
  <c r="F18" i="11"/>
  <c r="F19" i="8"/>
  <c r="F18" i="5"/>
  <c r="H37" i="4"/>
  <c r="H36" i="4"/>
  <c r="F16" i="3"/>
  <c r="F11" i="7"/>
  <c r="H168" i="8"/>
  <c r="H163" i="8"/>
  <c r="H134" i="8"/>
  <c r="H133" i="8"/>
  <c r="H127" i="8"/>
  <c r="H124" i="8"/>
  <c r="H102" i="8"/>
  <c r="H55" i="8"/>
  <c r="F14" i="8"/>
  <c r="F14" i="11"/>
  <c r="F12" i="11"/>
  <c r="F15" i="4"/>
  <c r="F14" i="4"/>
  <c r="F13" i="4"/>
  <c r="F12" i="4"/>
  <c r="F11" i="4"/>
  <c r="H44" i="12"/>
  <c r="H43" i="12"/>
  <c r="H42" i="12"/>
  <c r="H37" i="12"/>
  <c r="H35" i="12"/>
  <c r="F14" i="12"/>
  <c r="F13" i="12"/>
  <c r="F12" i="12"/>
  <c r="F11" i="12"/>
  <c r="F10" i="12"/>
  <c r="H142" i="11"/>
  <c r="H137" i="11"/>
  <c r="H115" i="11"/>
  <c r="H114" i="11"/>
  <c r="H113" i="11"/>
  <c r="H112" i="11"/>
  <c r="H111" i="11"/>
  <c r="H110" i="11"/>
  <c r="H108" i="11"/>
  <c r="H97" i="11"/>
  <c r="H96" i="11"/>
  <c r="H95" i="11"/>
  <c r="H94" i="11"/>
  <c r="H92" i="11"/>
  <c r="H91" i="11"/>
  <c r="H90" i="11"/>
  <c r="H89" i="11"/>
  <c r="H83" i="11"/>
  <c r="H59" i="11"/>
  <c r="H58" i="11"/>
  <c r="H57" i="11"/>
  <c r="H52" i="11"/>
  <c r="H48" i="11"/>
  <c r="H47" i="11"/>
  <c r="H45" i="11"/>
  <c r="H44" i="11"/>
  <c r="H43" i="11"/>
  <c r="H42" i="11"/>
  <c r="H37" i="11"/>
  <c r="F17" i="11"/>
  <c r="F16" i="11"/>
  <c r="F15" i="11"/>
  <c r="F13" i="11"/>
  <c r="F11" i="11"/>
  <c r="H161" i="8"/>
  <c r="H160" i="8"/>
  <c r="H159" i="8"/>
  <c r="H158" i="8"/>
  <c r="H132" i="8"/>
  <c r="H129" i="8"/>
  <c r="H128" i="8"/>
  <c r="H125" i="8"/>
  <c r="H104" i="8"/>
  <c r="H103" i="8"/>
  <c r="H101" i="8"/>
  <c r="H100" i="8"/>
  <c r="H99" i="8"/>
  <c r="H61" i="8"/>
  <c r="H60" i="8"/>
  <c r="H59" i="8"/>
  <c r="H58" i="8"/>
  <c r="H57" i="8"/>
  <c r="H54" i="8"/>
  <c r="H53" i="8"/>
  <c r="H52" i="8"/>
  <c r="H51" i="8"/>
  <c r="F18" i="8"/>
  <c r="F17" i="8"/>
  <c r="F16" i="8"/>
  <c r="F15" i="8"/>
  <c r="F13" i="8"/>
  <c r="F12" i="8"/>
  <c r="F11" i="8"/>
  <c r="H98" i="5"/>
  <c r="H97" i="5"/>
  <c r="H95" i="5"/>
  <c r="H94" i="5"/>
  <c r="H93" i="5"/>
  <c r="H87" i="5"/>
  <c r="H86" i="5"/>
  <c r="H84" i="5"/>
  <c r="H83" i="5"/>
  <c r="H82" i="5"/>
  <c r="H76" i="5"/>
  <c r="H75" i="5"/>
  <c r="H73" i="5"/>
  <c r="H72" i="5"/>
  <c r="H71" i="5"/>
  <c r="H54" i="5"/>
  <c r="H53" i="5"/>
  <c r="H52" i="5"/>
  <c r="H47" i="5"/>
  <c r="H42" i="5"/>
  <c r="H37" i="5"/>
  <c r="F17" i="5"/>
  <c r="F16" i="5"/>
  <c r="F15" i="5"/>
  <c r="F14" i="5"/>
  <c r="F13" i="5"/>
  <c r="F12" i="5"/>
  <c r="F11" i="5"/>
  <c r="H44" i="3"/>
  <c r="H43" i="3"/>
  <c r="H42" i="3"/>
  <c r="H40" i="3"/>
  <c r="H39" i="3"/>
  <c r="H38" i="3"/>
  <c r="H36" i="3"/>
  <c r="H35" i="3"/>
  <c r="H34" i="3"/>
  <c r="H32" i="3"/>
  <c r="H31" i="3"/>
  <c r="H30" i="3"/>
  <c r="F15" i="3"/>
  <c r="F14" i="3"/>
  <c r="F13" i="3"/>
  <c r="F12" i="3"/>
  <c r="F11" i="3"/>
  <c r="F10" i="3"/>
  <c r="H30" i="1"/>
  <c r="F17" i="1"/>
  <c r="F16" i="1"/>
  <c r="F15" i="1"/>
  <c r="F14" i="1"/>
  <c r="F13" i="1"/>
  <c r="F12" i="1"/>
  <c r="F11" i="1"/>
  <c r="F10" i="1"/>
  <c r="F9" i="1"/>
  <c r="F22" i="7"/>
  <c r="F21" i="7"/>
  <c r="F20" i="7"/>
  <c r="F19" i="7"/>
  <c r="F18" i="7"/>
  <c r="F17" i="7"/>
  <c r="F16" i="7"/>
  <c r="F15" i="7"/>
  <c r="F14" i="7"/>
  <c r="F13" i="7"/>
  <c r="F12" i="7"/>
  <c r="F10" i="7"/>
  <c r="F9" i="7"/>
</calcChain>
</file>

<file path=xl/sharedStrings.xml><?xml version="1.0" encoding="utf-8"?>
<sst xmlns="http://schemas.openxmlformats.org/spreadsheetml/2006/main" count="3134" uniqueCount="390">
  <si>
    <t>CONSOLIDATED EXTENSION PERFORMANCE AND BUDGET STATUS REPORT</t>
  </si>
  <si>
    <t>Batangas State University TNEU ARASOF-Nasugbu</t>
  </si>
  <si>
    <t>A. General Performance Indicator Status</t>
  </si>
  <si>
    <t xml:space="preserve">     Presents the consolidated performance indicators from the AOP, QEO, OPCR and OPMM, showing the target, accomplishment, variance, percentage of accomplishment, and status.</t>
  </si>
  <si>
    <t>Indicator_ ID</t>
  </si>
  <si>
    <t>Performance Indicator</t>
  </si>
  <si>
    <t>Source</t>
  </si>
  <si>
    <t>Target</t>
  </si>
  <si>
    <t>Accomplishment</t>
  </si>
  <si>
    <t>Variance</t>
  </si>
  <si>
    <t>Status</t>
  </si>
  <si>
    <t>Target per Person/Office Concerned</t>
  </si>
  <si>
    <t>PI-01</t>
  </si>
  <si>
    <t>Number of faculty members who took the Basic and Advanced Course in Community Service</t>
  </si>
  <si>
    <t>AOP, QEO, OPCR, OPMM</t>
  </si>
  <si>
    <t>MET</t>
  </si>
  <si>
    <t>CABEIHM - 2
CCJE - 2
CHS - 1
CICS - 1
CTE - 2
Laboratory School - 2</t>
  </si>
  <si>
    <t>PI-02</t>
  </si>
  <si>
    <t>Number of approved extension programs conducted</t>
  </si>
  <si>
    <t>QEO, OPMM</t>
  </si>
  <si>
    <t>Partially MET</t>
  </si>
  <si>
    <t>CABEIHM - 4
CAS - 4
CCJE - 1
CHS - 1
CICS - 1
CTE - 2</t>
  </si>
  <si>
    <t>PI-03</t>
  </si>
  <si>
    <t>Number of external beneficiaries weighted by the length of training</t>
  </si>
  <si>
    <t>CABEIHM - 436
CAS - 436
CCJE - 109
CHS - 109
CICS - 109
CTE - 218</t>
  </si>
  <si>
    <t>PI-04</t>
  </si>
  <si>
    <t>Percentage of trainees who rate the training course at least satisfactory in terms of quality and relevance</t>
  </si>
  <si>
    <t>CABEIHM - 97%
CAS - 97%
CCJE - 97%
CHS - 97%
CICS - 97%
CTE - 97%
Laboratory School - 97%</t>
  </si>
  <si>
    <t>PI-05</t>
  </si>
  <si>
    <t>Number of notarized Memorandum of Understanding (MOU) / Memorandum of Agreement (MOA)</t>
  </si>
  <si>
    <t>CABEIHM - 3
CAS - 4
CCJE - 2
CHS - 2
CICS - 1
CTE - 2
Laboratory School - 1</t>
  </si>
  <si>
    <t>PI-06</t>
  </si>
  <si>
    <t>Number of campus projects adopting COMLEX as a community development approach</t>
  </si>
  <si>
    <t>AOP, OPMM</t>
  </si>
  <si>
    <t>CABEIHM - 1</t>
  </si>
  <si>
    <t>PI-07</t>
  </si>
  <si>
    <t>Number of pool of experts organized per specialization</t>
  </si>
  <si>
    <t>CAS - 1</t>
  </si>
  <si>
    <t>PI-08</t>
  </si>
  <si>
    <t>Number of initial implementation of training for families and communities</t>
  </si>
  <si>
    <t>CTE - 1</t>
  </si>
  <si>
    <t>PI-09</t>
  </si>
  <si>
    <t>Number of social innovation projects utilized by the community</t>
  </si>
  <si>
    <t>CICS - 1</t>
  </si>
  <si>
    <t>PI-10</t>
  </si>
  <si>
    <t>Number of faculty members monitored who have completed and implemented the course</t>
  </si>
  <si>
    <t>CABEIHM - 1
CICS - 1</t>
  </si>
  <si>
    <t>PI-11</t>
  </si>
  <si>
    <t>Number of radio program episodes
addressing emerging and pressing concerns aired/produced</t>
  </si>
  <si>
    <t>PI-12</t>
  </si>
  <si>
    <t xml:space="preserve">Number of livelihood and capacity-building trainings conducted </t>
  </si>
  <si>
    <t>OPMM</t>
  </si>
  <si>
    <t>CABEIHM - 1
CAS - 1</t>
  </si>
  <si>
    <t>PI-13</t>
  </si>
  <si>
    <t>Number of conducted technical advisory for industries and other institutions</t>
  </si>
  <si>
    <t>CABEIHM - 3
CAS - 3
CCJE - 1
CHS - 1
CICS - 1
CTE - 2</t>
  </si>
  <si>
    <t>PI-14</t>
  </si>
  <si>
    <t>Budget Utilization Rate</t>
  </si>
  <si>
    <t>Budget</t>
  </si>
  <si>
    <t>CABEIHM - 70%
CAS - 70%
CCJE - 70%
CHS - 70%
CICS - 70%
CTE - 70%
Laboratory School - 70%</t>
  </si>
  <si>
    <t>Extension Services - Quarter 3 FY 2026</t>
  </si>
  <si>
    <t>College: College of Informatics and Computing Sciences (CICS)</t>
  </si>
  <si>
    <t>B. Extension Activities Implementation and Budget Utilization Status</t>
  </si>
  <si>
    <t xml:space="preserve">     Presents the implementation progress of approved extension activities, including planned and actual implementation dates, challenges and interventions, and the corresponding budget allocation and utilization.</t>
  </si>
  <si>
    <t>No.</t>
  </si>
  <si>
    <t>Activity Title</t>
  </si>
  <si>
    <t>Target Implementation Date</t>
  </si>
  <si>
    <t>Actual Implementation Date</t>
  </si>
  <si>
    <t>Implementation Status</t>
  </si>
  <si>
    <t>Budget Allocation</t>
  </si>
  <si>
    <t>Budget Utilization</t>
  </si>
  <si>
    <t xml:space="preserve">Strategic Partnership Coordination </t>
  </si>
  <si>
    <t>Q4, 2025</t>
  </si>
  <si>
    <t>Implemented</t>
  </si>
  <si>
    <t>No University budget allocation was required since the activity was conducted online.</t>
  </si>
  <si>
    <t>MSME Profiling and Status Mapping in the MSMEs assisted under DTI-CARP</t>
  </si>
  <si>
    <t>No University budget was allocated, as food expenses for all participants, faculty, and student extensionists across all activities were fully shouldered by the partner agency.</t>
  </si>
  <si>
    <t>MOA Signing and Program Launching</t>
  </si>
  <si>
    <t>Photography for MSME Branding Workshop</t>
  </si>
  <si>
    <t>Video Editing and Content Creation for Social Media</t>
  </si>
  <si>
    <t>Digital Branding and Marketing Identity Masterclass</t>
  </si>
  <si>
    <t>Q1, 2026</t>
  </si>
  <si>
    <t>Website Development and Social Media Engagement
Workshop</t>
  </si>
  <si>
    <t>Community Data Center Launch, Orientation, and Onboarding</t>
  </si>
  <si>
    <t>Q2, 2026</t>
  </si>
  <si>
    <t>Data Privacy, Security, and Access Management Training</t>
  </si>
  <si>
    <t>MSME Platform Technology Transfer and Training</t>
  </si>
  <si>
    <t>Q3, 2026</t>
  </si>
  <si>
    <t>Mobile App Dissemination and Awareness Campaign</t>
  </si>
  <si>
    <t>For Implementation</t>
  </si>
  <si>
    <t>Data Analytics and KPI Measurement Workshop</t>
  </si>
  <si>
    <t>Q4, 2026</t>
  </si>
  <si>
    <t>Sustainable IT Practices and Innovation Training</t>
  </si>
  <si>
    <t>C. Status of Report and Documentary Requirements Submission</t>
  </si>
  <si>
    <t xml:space="preserve">     Presents the compliance status of each extension activity with the required reports and supporting documents, including post-implementation and monitoring requirements.</t>
  </si>
  <si>
    <t>Attendance</t>
  </si>
  <si>
    <t>Evaluation Report</t>
  </si>
  <si>
    <t>Terminal Report</t>
  </si>
  <si>
    <t>Monitoring Tool</t>
  </si>
  <si>
    <t>Monitoring the Progress</t>
  </si>
  <si>
    <t>Rescheduling Letters</t>
  </si>
  <si>
    <t>N/A</t>
  </si>
  <si>
    <t>Submitted</t>
  </si>
  <si>
    <t>Not Yet Due</t>
  </si>
  <si>
    <t>Prepared by:</t>
  </si>
  <si>
    <t>Reviewed and Verified:</t>
  </si>
  <si>
    <t>Approved and Certified Correct:</t>
  </si>
  <si>
    <t>Ms. MARICHELLE J. ABIOG</t>
  </si>
  <si>
    <t>Dr. NOELYN M. DE JESUS</t>
  </si>
  <si>
    <t>Dr. FROILAN G. DESTREZA</t>
  </si>
  <si>
    <t>Staff, Extension Services Office</t>
  </si>
  <si>
    <t>Head, Extension Services Office</t>
  </si>
  <si>
    <t>Vice Chancellor for Research, Development, and Extension Services</t>
  </si>
  <si>
    <t>Remarks</t>
  </si>
  <si>
    <t>Faculty Members who took the Advanced Course in Community Service: 
1. Dr. Noelyn M. De Jesus</t>
  </si>
  <si>
    <t>Three (3) activities remain for implementation in FY 2026:
1. Project 5 Activity 2
2. Project 6 Activity 1
3. Project 6 Activity 2</t>
  </si>
  <si>
    <t>Breakdown of beneficiaries weighted by length of training:
1. Project 3 Activity 1 - 25
2. Project 3 Activity 2 - 25
3. Project 4 Activity 1 - 17
4. Project 4 Activity 2 - 19
5. Project 5 Activity 1 - 15</t>
  </si>
  <si>
    <t>Trainees rating the training satisfactory or higher per activity:
1. Project 3 Activity 1 - 100%
2. Project 3 Activity 2 - 100%
3. Project 4 Activity 1 - 100%
4. Project 4 Activity 2 - 100%
5. Project 5 Activity 1 - 100%</t>
  </si>
  <si>
    <t>One (1) notarized MOA was established, meeting the annual target.
1. DTI Batangas</t>
  </si>
  <si>
    <t>One (1) social innovation project was utilized by the partner community, meeting the annual target:
1. MSME Visibility Platform</t>
  </si>
  <si>
    <t>Faculty Member monitored who have completed and implemented the course: 
1. Dr. Noelyn M. De Jesus</t>
  </si>
  <si>
    <t>One (1) technical advisory service was conducted, meeting the annual target:
1. Project 4 Activity 2</t>
  </si>
  <si>
    <t>Budget utilization remains above the established target.</t>
  </si>
  <si>
    <t>College: College of Informatics and Computing Sciences (CICS) - Unified, Smart, Accessible Data Center (USAD) Program</t>
  </si>
  <si>
    <t>Act. No.</t>
  </si>
  <si>
    <t>PROGRAM USAD | PROJECT 1 LinkUp: Building Strategic Partnerships for MSME Digital Transformation (FISCAL YEAR 2025 IMPLEMENTATION)</t>
  </si>
  <si>
    <t>PROGRAM USAD | PROJECT 2 VisualEdge: Creative Photography and Video Editing for MSME Promotion (FISCAL YEAR 2025 IMPLEMENTATION)</t>
  </si>
  <si>
    <t>PROGRAM USAD | PROJECT 3 DigiMark: A Digital Marketing and Branding to Strengthen MSME Profit Growth (FISCAL YEAR 2026 IMPLEMENTATION)</t>
  </si>
  <si>
    <t>PROGRAM USAD | PROJECT 4 DataNest: The Community’s Home for Smart and Sustainable Digital Access (FISCAL YEAR 2026 IMPLEMENTATION)</t>
  </si>
  <si>
    <t>PROGRAM USAD | PROJECT 5 Glimpse: Technology Transfer and End-User Training for the MSME Visibility Platform (FISCAL YEAR 2026 IMPLEMENTATION)</t>
  </si>
  <si>
    <t>PROGRAM USAD | PROJECT 6 TechWise: Training on Sustainable IT Practices and KPI-Driven Innovation (FISCAL YEAR 2026 IMPLEMENTATION)</t>
  </si>
  <si>
    <t>College: College of Health and Sciences (CHS)</t>
  </si>
  <si>
    <t>Faculty Members who took the Advanced Course in Community Service: 
1. Ms. Kareen C. Aclan</t>
  </si>
  <si>
    <t>All planned activities under the approved extension program were successfully implemented.</t>
  </si>
  <si>
    <t>Breakdown of beneficiaries weighted by length of training:
1. Project 1 Activity 2 Q1 - 54
2. Project 1 Activity 3 Q1 - 54
3. Project 1 Activity 4 Q1 - 57
4. Project 2 Activity 1 - 38
5. Project 2 Activity 2 - 38
6. Project 2 Activity 3 - 36
7. Project 1 Activity 2 Q3 - 69
8. Project 1 Activity 3 Q3 - 66
9. Project 1 Activity 4 Q3 - 63</t>
  </si>
  <si>
    <t>Trainees rating the training satisfactory or higher per activity:
1. Project 1 Activity 2 Q1 - 100%
2. Project 1 Activity 3 Q1 - 100%
3. Project 1 Activity 4 Q1 - 100%
4. Project 2 Activity 1 - 100%
5. Project 2 Activity 2 - 100%
6. Project 2 Activity 3 - 100%
7. Project 1 Activity 2 Q3 - 100%
8. Project 1 Activity 3 Q3 - 100%
9. Project 1 Activity 4 Q3 - 100%</t>
  </si>
  <si>
    <t>One (1) notarized MOA was established, with one (1) additional MOA in process:
1. MHO Lian (established)
2. MHO Nasugbu (for signing)</t>
  </si>
  <si>
    <t>One (1) technical advisory service was conducted, meeting the annual target:
1. Project 1 Activity 3</t>
  </si>
  <si>
    <t>College: College of Health and Sciences (CHS) - Collaborative Health Solutions 1.0: Capability-building, Advocacy, Response, Education, and
Support for Health and Sustainability (CHS CARES)</t>
  </si>
  <si>
    <t>PROGRAM CHS CARES | PROJECT 1 KaKaTuWaNu: Kaalaman, Kahandaan Tungo sa Wastong Nutrisyon (FISCAL YEAR 2025 IMPLEMENTATION)</t>
  </si>
  <si>
    <t>Memorandum of Agreement (MOA) Preparation and Signing with Nasugbu and Lian</t>
  </si>
  <si>
    <t>Q3, 2025</t>
  </si>
  <si>
    <t>No budget allocation was required, as no formal MOA/MOU signing ceremony was planned.</t>
  </si>
  <si>
    <t>Bridging the Digital Gap for Barangay Nutritional Scholars with Basic Computer Training for E-OPT Success</t>
  </si>
  <si>
    <t>E-OPT Plus Tool Version 2.0 Training for Barangay Nutrition Scholars</t>
  </si>
  <si>
    <t>ABCD Nutritional Assessment for Barangay Nutrition Scholars</t>
  </si>
  <si>
    <t>PROGRAM CHS CARES | PROJECT 2 KaKaTuWaKa: Kaalaman, Kahandaan Tungo sa Wastong Kalusugan (FISCAL YEAR 2025 IMPLEMENTATION)</t>
  </si>
  <si>
    <t>First Aid, Vital Signs, and Communication for BHWs</t>
  </si>
  <si>
    <t>DOH Programs for BHWs</t>
  </si>
  <si>
    <t>Communicable and Non-communicable Diseases</t>
  </si>
  <si>
    <t>PROGRAM CHS CARES | PROJECT 1 KaKaTuWaNu: Kaalaman, Kahandaan Tungo sa Wastong Nutrisyon (FISCAL YEAR 2026  QUARTER 1 IMPLEMENTATION)</t>
  </si>
  <si>
    <t>PROGRAM CHS CARES | PROJECT 2 KaKaTuWaKa: Kaalaman, Kahandaan Tungo sa Wastong Kalusugan (FISCAL YEAR 2026 IMPLEMENTATION)</t>
  </si>
  <si>
    <t>PROGRAM CHS CARES | PROJECT 1 KaKaTuWaNu: Kaalaman, Kahandaan Tungo sa Wastong Nutrisyon (FISCAL YEAR 2026  QUARTER 3 IMPLEMENTATION)</t>
  </si>
  <si>
    <t>For Disbursement</t>
  </si>
  <si>
    <t>-</t>
  </si>
  <si>
    <t>Pending</t>
  </si>
  <si>
    <t>College: College of Teacher Education (CTE)</t>
  </si>
  <si>
    <t>Faculty Members who took the Basic and Advanced Course in Community Service: 
1. Mr. John Cloyd Pajo</t>
  </si>
  <si>
    <t>Two (2) approved extension programs, TELA and TEACHER, have remaining activities scheduled for implementation within Q3-Q4 2026.
Program TELA:
Fifteen (15) extension activities are scheduled for implementation, covering,
1. Project 3 Activity 2-5 (Batch 1)
2. Project 2 Activity 1-4 (Batch 2)
3. Project 3 Activity 2-5 (Batch 2)
4. Project 4 Activity 1-3 (All)
Program TEACHER:
Nine (9) extension activities are scheduled for implementation, covering,
1. Project 1 Activity 8-10
2. Project 2 Activity 8-10
3. Project 3 Activity 8-10</t>
  </si>
  <si>
    <t>Breakdown of beneficiaries weighted by length of training:
1. Project 1 Activity 5 - 20
2. Project 1 Activity 6 - 20
3. Project 1 Activity 7 - 20
4. Project 1 Activity 8 - 10
5. Project 2 Activity 5 - 20
6. Project 2 Activity 6 - 20
7. Project 2 Activity 7 - 20
8. Project 2 Activity 8 - 10
9. Project 3 Activity 5 - 20
10. Project 3 Activity 6 - 20
11. Project 3 Activity 7 - 20
12. Project 3 Activity 8 - 10</t>
  </si>
  <si>
    <t>Trainees rating the training satisfactory or higher per activity:
1. Project 1 Activity 5 - 100%
2. Project 1 Activity 6 - 100%
3. Project 1 Activity 7 - 100%
4. Project 1 Activity 8 - 100%
5. Project 2 Activity 5 - 100%
6. Project 2 Activity 6 - 100%
7. Project 2 Activity 7 - 100%
8. Project 2 Activity 8 - 100%
9. Project 3 Activity 5 - 100%
10. Project 3 Activity 6 - 100%
11. Project 3 Activity 7 - 100%
12. Project 3 Activity 8 - 100%</t>
  </si>
  <si>
    <t>One (1) notarized MOA was established, meeting the annual target, 2 are still pending
1. Calatagan SDO Office - Established
2. Brgy. Wawa, Nasugbu - Pending
3. DSWD - Pending
4. Maugat Council - Pending</t>
  </si>
  <si>
    <t>One (1) training module was developed; implementation is scheduled in Q4 2026.</t>
  </si>
  <si>
    <t>One (1) technical advisory service was conducted, meeting the annual target:
1. Project 3 Activity 7</t>
  </si>
  <si>
    <t>College: College of Teacher Education (CTE) - PROGRAM TEACHER (Teaching Excellence and Competency in Holistic Education Research)</t>
  </si>
  <si>
    <t>PROGRAM TELA - Project 3 Basics of Burda (Batch 1)</t>
  </si>
  <si>
    <t>Benchmarking Activity for Embroidery</t>
  </si>
  <si>
    <t>Rescheduled</t>
  </si>
  <si>
    <t>Seminar and Workshop on the Basics of Embroidery</t>
  </si>
  <si>
    <t>Hands-on Embroidery</t>
  </si>
  <si>
    <t>Basics of Barong and Filipiniana</t>
  </si>
  <si>
    <t>Sewing and Assembling Barong and Filipiniana</t>
  </si>
  <si>
    <t>PROGRAM TELA - Project 2 Basics of School Apparel making (Batch 2)</t>
  </si>
  <si>
    <t>Pattern Making</t>
  </si>
  <si>
    <t>Sewing Upper Garments</t>
  </si>
  <si>
    <t>Tailoring Lower Garments</t>
  </si>
  <si>
    <t>Learning Robes and Gowns</t>
  </si>
  <si>
    <t>PROGRAM TELA - Project 3 Basics of Burda (Batch 2)</t>
  </si>
  <si>
    <t>PROGRAM TELA - Project 4 Basics for Business Expansion and Personal Development</t>
  </si>
  <si>
    <t>Seminar and Workshop Financial Literacy</t>
  </si>
  <si>
    <t>Seminar and Workshop on Digitalization of Products</t>
  </si>
  <si>
    <t>Seminar and Workshop on Organization Formation</t>
  </si>
  <si>
    <t>PROGRAM TEACHER - PPROJECT 1</t>
  </si>
  <si>
    <t>Research Problems and Formulation</t>
  </si>
  <si>
    <t>Data Analysis and Interpretation in Research</t>
  </si>
  <si>
    <t>Onwards to the Basics of Presentation and Publication</t>
  </si>
  <si>
    <t>Bridging Teaching and Research</t>
  </si>
  <si>
    <t>Allocated food budget was not utilized, as the activity was 
conducted online.</t>
  </si>
  <si>
    <t>Research Ideation and Writing</t>
  </si>
  <si>
    <t>Teaching and Learning Research Colloquium</t>
  </si>
  <si>
    <t>PROGRAM TEACHER - PPROJECT 2</t>
  </si>
  <si>
    <t>PROGRAM TEACHER - PPROJECT 3</t>
  </si>
  <si>
    <t>Extension Services - FY 2026</t>
  </si>
  <si>
    <t>College: College of Teacher Education (CTE) - PROGRAM TELA (Tailoring Expertise and Learning in Apparel production): Livelihood and
Entrepreneurial Empowerment for fisherfolk's families in Brgy. Wawa. Nasugbu, Batangas</t>
  </si>
  <si>
    <t>Overdue</t>
  </si>
  <si>
    <t>College: College of Accountancy, Business, Economics, and International Hospitality Management (CABEIHM)</t>
  </si>
  <si>
    <t>Four (4) approved extension programs, EntrePinoy, PAMANA, KITA and Gear-Up AGFAMCO, have remaining activities scheduled for implementation within Q3-Q4 2026.
Program EntrePinoy:
Two (two) extension activities are scheduled for implementation, covering,
1. Project 2: Activity 4
2. Project 3: Activity 4
Program PAMANA:
Three (3) extension activities are scheduled for implementation, covering,
1. Project 2: Activity 2
2. Project 2: Activity 3
3. Project 2: Activity 4
Program KITA:
Four (4) extension activities are scheduled for implementation, covering,
1. Project 2: Activity 4 - Every Quarter
2. Project 3: Activity 3
Program Gear-Up AGFAMCO:
Three (3) extension activities are for verification of program leader
1. Project 1: Activity 4
2. Project 1: Activity 5
3. Project 2: Activity 5</t>
  </si>
  <si>
    <t>Trainees rating the training satisfactory or higher per activity:
Program EntrePinoy:
1. Project 2: Activity 3 - 100%
2. Project 3: Activity 3 - 100%
3. Project 2: Activity 5- 100%
4. Project 3: Activity 5- 100%
5.  Project 2: Activity 6 - 100%
6. Project 3: Activity 6 -100%
Program KITA:
1. Project 2: Activity 2 - 100%
2. Project 2: Activity 3 - 100%
3. Project 2: Activity 4 - 100%
Program PAMANA:
1. Project 1: Activity 2 - 100%
2. Project 1: Activity 3 - 100%
3. Project 1: Activity 4 - 100%
4. Project 1: Activity 5 - 100%
5. Project 1: Activity 6 - 100%
6. Project 1: Activity 7 - 100%
7. Project 2: Activity 1- 100%
Program Gear-Up AGFAMCO:
1. Project 2: Activity 2 - 100%
2. Project 2: Activity 3 - 100%
3. Project 2: Activity 4 - 100%
4. Project 2: Activity 5 - 100%</t>
  </si>
  <si>
    <t>One (1) campus project adopting COMLEX was utilized by the partner community, meeting the annual target:
1. Global to Local Learning Express (G2L LeX)</t>
  </si>
  <si>
    <t>Faculty Member monitored who have completed and implemented the course: 
1. Dr. Cherry D. Abeleda</t>
  </si>
  <si>
    <t xml:space="preserve">PROGRAM Gear-Up AGFAMCO - Project 1: Fortifying Foundations: Building a Strong Internal Control System for AGFAMCO  </t>
  </si>
  <si>
    <t>Coordination Meeting</t>
  </si>
  <si>
    <t>Q2, 2025</t>
  </si>
  <si>
    <t>Understanding Internal Controls Part 1</t>
  </si>
  <si>
    <t>Understanding Internal Controls Part 2</t>
  </si>
  <si>
    <t>AGFAMCO'S Internal Control System</t>
  </si>
  <si>
    <t>Technical Advisory</t>
  </si>
  <si>
    <t>Q1 and Q4, 2026</t>
  </si>
  <si>
    <t xml:space="preserve">PROGRAM Gear-Up AGFAMCO - Project 2: Excel Mastery: Streamlining AGFAMCOs Financial Reporting </t>
  </si>
  <si>
    <t>Chart of Accounts Development and Standardization</t>
  </si>
  <si>
    <t>Excel as a Tool for Financial Transaction and Journal Encoding</t>
  </si>
  <si>
    <t>Automating Ledger Posting and Trial Balance Preparation in Excel</t>
  </si>
  <si>
    <t>Financial Statement Preparation Using Excel</t>
  </si>
  <si>
    <t>PROGRAM EntrePinoy - Project 1: Partnership</t>
  </si>
  <si>
    <t>Q1, 2025</t>
  </si>
  <si>
    <t>Q2 and Q3, 2025</t>
  </si>
  <si>
    <t>MOA Signing</t>
  </si>
  <si>
    <t>PROGRAM EntrePinoy - Project 2: Training and Capability Building</t>
  </si>
  <si>
    <t>Basic Bookkeeping</t>
  </si>
  <si>
    <t>Marketing Fundamentals</t>
  </si>
  <si>
    <t>Employee Onboarding</t>
  </si>
  <si>
    <t>Basics of Business Financial Literacy</t>
  </si>
  <si>
    <t>Digital Marketing</t>
  </si>
  <si>
    <t>Compensation and Benefits</t>
  </si>
  <si>
    <t xml:space="preserve">PROGRAM EntrePinoy - Project 3: Technical Advisory </t>
  </si>
  <si>
    <t>PROGRAM KITA - Project 1: Resource Mapping for Knowledge and Innovation for Training in Agribusiness</t>
  </si>
  <si>
    <t>Coordination Meeting &amp; Community Resource Mapping</t>
  </si>
  <si>
    <t xml:space="preserve"> - </t>
  </si>
  <si>
    <t>Market Analysis Workshop, Orientation and Pre-Training Assessment</t>
  </si>
  <si>
    <t>MOA Signing Activity &amp; Program Launching</t>
  </si>
  <si>
    <t>PROGRAM KITA - Project 2: Product development Training for Knowledge and Innovation for Training in Agribusiness</t>
  </si>
  <si>
    <t>Food Handling and Sanitation Training</t>
  </si>
  <si>
    <t>Food Processing Techniques Workshop: Taro Cassava &amp; Kamote</t>
  </si>
  <si>
    <t>Product Prototype Development: Taro, Cassava &amp; Kamote</t>
  </si>
  <si>
    <t>Post-Training Assessment and Technical Advisory/Consultation</t>
  </si>
  <si>
    <t>PROGRAM KITA - Project 3: Market Linkage &amp; Networking for Knowledge and Innovation for Training in Agribusiness (KITA)</t>
  </si>
  <si>
    <t>Introduction to Business Management &amp; Financial Planning and Record-Keeping</t>
  </si>
  <si>
    <t>Product Branding and Marketing Strategies &amp; Social Media Marketing and Sales Techniques</t>
  </si>
  <si>
    <t>Market Linkage and Networking</t>
  </si>
  <si>
    <t>PROGRAM PAMANA - Project 1: Partnerships and places to Lessons: A Co-Creation Journey</t>
  </si>
  <si>
    <t>Learning Tourism Destination Framework Seminar and Workshop / Cultural Mapping Results Presentation</t>
  </si>
  <si>
    <t>Tourism Destination Systems &amp; Value Chains Seminar and Workshop for Educators</t>
  </si>
  <si>
    <t>Mapping as Pedagogy: From Local Places to Powerful Lesson</t>
  </si>
  <si>
    <t>Storytelling &amp; Interpretation in the Classroom Training / Final Scoping of Module Themes</t>
  </si>
  <si>
    <t>Conceptualization and Consolidating of Themes, Lessons, Strategies, and Visual Pedagogy for the Module</t>
  </si>
  <si>
    <t>Printing of the first draft of the first draft of the following in manuscript form: 1. Student Module; 2. Teacher's Guide; 3. Tour Guiding Script; 4. Supplemental Reference Materials; 5. Flash Cards</t>
  </si>
  <si>
    <t>PROGRAM PAMANA - Project 2: PAMANA Validate, Deliver, Showcase</t>
  </si>
  <si>
    <t>Final Validation and Printing of the Final Outputs</t>
  </si>
  <si>
    <t>Q2 and Q3, 2026</t>
  </si>
  <si>
    <t>Teaching on the Move - Designing and Leading Educational Tours; Official Hnadover and Dissemination (with Transfer of Technology and Copyright Application)</t>
  </si>
  <si>
    <t>Documentation of Classroom Observation and Pedagogy Implementation; Information Campaign for the Cultural Exhibit and Interpretation Competition</t>
  </si>
  <si>
    <t>Cultural Exhibit - Gallery Walk and Interpretation Competition (with Technical Assistance: Experts, Consultants, Panel)</t>
  </si>
  <si>
    <t>Technical Advisory - On Site Visit and One on One Consultations</t>
  </si>
  <si>
    <t>College: College of Arts and Sciences (CAS)</t>
  </si>
  <si>
    <t>One (1) pool of experts was established according to their respective specializations
1. Mr. Noriel C. Soriano</t>
  </si>
  <si>
    <t>Number of radio program episodes addressing emerging and pressing concerns aired/produced</t>
  </si>
  <si>
    <t>One (1) radio program episode was successfully produced and aired
Title of the Radio Program: UGNAYAN ng Pamayanan at Pamantasan
Date Aired: May 21 and 28, 2026
Venue: Batangas State University ARASOF-Nasugbu</t>
  </si>
  <si>
    <t>PROGRAM ANGAT - Project 1: Benchmarking and Partnership</t>
  </si>
  <si>
    <t>Benchmarking and Coordination Meeting</t>
  </si>
  <si>
    <t>MOU Signing</t>
  </si>
  <si>
    <t>PROGRAM ANGAT - Project 2: Development of Training Manual on Fish Processing and Product Development</t>
  </si>
  <si>
    <t>Drafting of Training Manuals on Fish Processing and Product Development</t>
  </si>
  <si>
    <t>Training Manual Review, Validation and Printing</t>
  </si>
  <si>
    <t xml:space="preserve">PROGRAM ANGAT - Project 3: Basics for Business Expansion </t>
  </si>
  <si>
    <t>Training on Product packaging and labeling</t>
  </si>
  <si>
    <t>Seminar-workshop on Pricing, costing, and budgeting for small enterprises</t>
  </si>
  <si>
    <t>Seminar-workshop on Digital Marketing and Promotion Strategies</t>
  </si>
  <si>
    <t>Seminar-workshop on Basic Accounting and the Use of Excel as a Tool for Financial Transaction</t>
  </si>
  <si>
    <t xml:space="preserve">PROGRAM ANGAT - Project 4: Aqua-preneurship Training </t>
  </si>
  <si>
    <t>Training Workshop on Tilapia Fish Sausage and Hotdog Processing</t>
  </si>
  <si>
    <t>Training Workshop on Tilapia Fish Nuggets, Fish Balls &amp; Fish Patties Processing</t>
  </si>
  <si>
    <t>Training Workshop on Tilapia Embutido Processing</t>
  </si>
  <si>
    <t>Seminar- workshop on Good Manufacturing Practices in Fish Processing</t>
  </si>
  <si>
    <t>Training Workshop on Smoked Fish (Tinapa) Tamban Processing</t>
  </si>
  <si>
    <t>Training Workshop on Flavored Fish Flakes Processing</t>
  </si>
  <si>
    <t>Training Workshop on Fish Bone Meal Processing</t>
  </si>
  <si>
    <t xml:space="preserve">PROGRAM ANGAT - Project 5: Grow-out culture of tilapia using tank culture system </t>
  </si>
  <si>
    <t>Seminar on Tilapia Tank Culture</t>
  </si>
  <si>
    <t>Seminar on Water Quality Monitoring and Management</t>
  </si>
  <si>
    <t>Seminar on Water Fertilization and Feeding</t>
  </si>
  <si>
    <t>PROGRAM Food Tech Hub - Project 1: Building a strong partnership</t>
  </si>
  <si>
    <t>Q2 &amp; Q3, 2025</t>
  </si>
  <si>
    <t>Identification and onboarding of beneficiaries</t>
  </si>
  <si>
    <t>PROGRAM Food Tech Hub - Project 2: Development of food safety training manual</t>
  </si>
  <si>
    <t>Drafting of Food Safety and Quality Training Manual</t>
  </si>
  <si>
    <t>PROGRAM Food Tech Hub - Project 3: TECHSUPPORT "Expert, Solutions, Smarter Innovations''</t>
  </si>
  <si>
    <t>Training Workshop on Good Manufacturing Practices (GMP) and Sanitation Standard Operating Procedure (SSOP)</t>
  </si>
  <si>
    <t>Training Workshop on Hazard Analysis Critical Control Point and Product Development</t>
  </si>
  <si>
    <t>Training Workshop on Peanut Butter Making</t>
  </si>
  <si>
    <t>Training Workshop on Bottled Tawilis (Sardinella tawilis) in Spanish Style</t>
  </si>
  <si>
    <t>PROGRAM Food Tech Hub - Project 4: INNOVA-EAT "Empowering MSME's Through Food Safety and Livelihood Innovation"</t>
  </si>
  <si>
    <t>Training Workshop on Product Labeling and Packaging Design</t>
  </si>
  <si>
    <t>Training and Technical Advisory on the Online Application of LTO and CPR</t>
  </si>
  <si>
    <t>Technical Advisory and Consultation on the 1st Batch of Peanut Butter Production</t>
  </si>
  <si>
    <t>Q3 &amp; Q4, 2026</t>
  </si>
  <si>
    <t>Technical Advisory and Consultation on the 1st Batch of Bottled Tawilis in Spanish Style Production</t>
  </si>
  <si>
    <t>PROGRAM SIPAT - Project 1: Benchmarking and Partnership</t>
  </si>
  <si>
    <t>PROGRAM SIPAT - Project 2: SINAG (Strengthening Inclusive Nurturance through Awareness and Guidance)</t>
  </si>
  <si>
    <t>Lighting the Path: Foundations of Inclusive Awareness and Child Development</t>
  </si>
  <si>
    <t>Bridging Homes and Classrooms: Early Identification and Collaborative Support</t>
  </si>
  <si>
    <t>Deepening the Lens: Understanding Diverse Learners and Inclusive Mindsets</t>
  </si>
  <si>
    <t>Working Hand-in-Hand: Building Parent-Teacher Partnerships for Inclusion</t>
  </si>
  <si>
    <t>Voices of Inclusion: Sustaining Advocacy in Schools and Communities</t>
  </si>
  <si>
    <t>Growing Together: Strengthening Home-School Inclusion Network</t>
  </si>
  <si>
    <t>PROGRAM SIPAT - Project 3- ALAGA : Advancing Learning Access  Through Growth and Advocacy</t>
  </si>
  <si>
    <t>Connecting the Dots: Developing Inclusive Education Support Networks</t>
  </si>
  <si>
    <t>Inclusion in Action: Practical Strategies for Adoptive Classrooms</t>
  </si>
  <si>
    <t>Weaving Networks: Expanding Inclusive Education Pathways</t>
  </si>
  <si>
    <t>From Strategy to System: Advanced Inclusive Classroom Practices</t>
  </si>
  <si>
    <t>Sustaining the Circle: Institutionalizing Inclusive Pathways and Referrals</t>
  </si>
  <si>
    <t>Passing the Torch: Mentorship and Best Practices for Inclusion</t>
  </si>
  <si>
    <t>PROGRAM UNPLUGGED - Project 1: Benchmarking and Partnership</t>
  </si>
  <si>
    <t xml:space="preserve">Benchmarking and Coordination Meeting </t>
  </si>
  <si>
    <t>Program Launch and MOA Signing</t>
  </si>
  <si>
    <t>PROGRAM UNPLUGGED - Project 2: Development of Training Module</t>
  </si>
  <si>
    <t>Drafting of Training Module for Campus Mobile Journalism</t>
  </si>
  <si>
    <t>Training Module Review, Validation and Printing</t>
  </si>
  <si>
    <t>PROGRAM UNPLUGGED - Project 3: The Write Path Campus Journalism Mastery</t>
  </si>
  <si>
    <t>News, Feature, and Editorial Writing</t>
  </si>
  <si>
    <t>Photojournalism and Mobile Journalism</t>
  </si>
  <si>
    <t>Broadcasting and Video Reporting</t>
  </si>
  <si>
    <t>Desktop Publishing and Journalism Ethics and Progress Monitoring</t>
  </si>
  <si>
    <t>PROGRAM UNPLUGGED - Project 4: Headlines and Beyond - Campus Journalism Legacy Program</t>
  </si>
  <si>
    <t>Technical Consultation/ Advisership of their respective campus newspaper</t>
  </si>
  <si>
    <t>Q2, Q3 &amp; Q4, 2026</t>
  </si>
  <si>
    <t>Evaluation and Progress Monitoring</t>
  </si>
  <si>
    <t>College: College of Criminal Justice Education (CCJE)</t>
  </si>
  <si>
    <t>Faculty Members who took the Advanced Course in Community Service: 
1. Dr. Almerian B. Tayobong</t>
  </si>
  <si>
    <t>Breakdown of beneficiaries weighted by length of training:
1. Project 1 Activity 2 Q1 - 10
2. Project 2: Activity 2 Q1- 23</t>
  </si>
  <si>
    <t>Trainees rating the training satisfactory or higher per activity:
1. Project 1 Activity 2 Q1 - 100%
2. Project 2: Activity 2 Q1- 100%</t>
  </si>
  <si>
    <t>PROGRAM DRIVE.DEFEND.DELIVER - Project 1 - TRACE :Traffic Rules Advocacy for Community Empowerment</t>
  </si>
  <si>
    <t>TUGON 2.0: LTO E-Patrol Caravan</t>
  </si>
  <si>
    <t>Q2, 2025 &amp; 2026</t>
  </si>
  <si>
    <t>Q2, 2025 &amp; Q4, 2026</t>
  </si>
  <si>
    <t>Training-Seminar for Drafting of Barangay and Municipal Ordinance about Traffic Rules</t>
  </si>
  <si>
    <t>Q4, 2025 &amp; Q1, 2026</t>
  </si>
  <si>
    <t>Road Safety and Safe Commuting in Brgy. Bucana Nasugbu, Batangas</t>
  </si>
  <si>
    <t>PROGRAM DRIVE.DEFEND.DELIVER - Project 2 - ALAC : Accessible Legal Assistance Caravan</t>
  </si>
  <si>
    <t>Q4, 2025 &amp; Q4, 2026</t>
  </si>
  <si>
    <t>2,000.00 - STF
1,350.00 - MDS</t>
  </si>
  <si>
    <t>Q4, 2025 &amp; Q2, 2026</t>
  </si>
  <si>
    <t>PROGRAM DRIVE.DEFEND.DELIVER - Project 3- Her SENSEI : Self-Defense to Empower: Navigating Skills Enhancement  Initiatives</t>
  </si>
  <si>
    <t>Self-Defense Enhancement Training</t>
  </si>
  <si>
    <t>Virtual Seminar on Cybercrime</t>
  </si>
  <si>
    <t>Leadership, Personal Safety, and Self-Protection Seminar</t>
  </si>
  <si>
    <t>Q4, 2025 &amp; Q3, 2026</t>
  </si>
  <si>
    <t>Department: Laboratory School</t>
  </si>
  <si>
    <t>Faculty Members who took the Advanced Course in Community Service: 
1. Asst. Prof. Ma. Fe M. Bagon</t>
  </si>
  <si>
    <t>Two (2) RoboTrainS activities under USAD have been implemented; remaining USAD activities are for implementation within FY 2026.</t>
  </si>
  <si>
    <t>Breakdown of beneficiaries weighted by length of training:
1. Project 2 Activity 1 - 30
2. Project 2 Activity 2 - 29</t>
  </si>
  <si>
    <t>Trainees rating the training satisfactory or higher per activity:
1. Project 2 Activity 1 - 100%
2. Project 2 Activity 2 - 100%</t>
  </si>
  <si>
    <t>One (1) notarized MOA was established, meeting the annual target.
1. Marian Learning Center</t>
  </si>
  <si>
    <t>Department: Laboratory School - RoboTrainS Project</t>
  </si>
  <si>
    <t>PROGRAM USAD - Project 1 RoboTrainS</t>
  </si>
  <si>
    <t xml:space="preserve">Training/Seminar in Basic Lego Robotics Programming </t>
  </si>
  <si>
    <t>Training/Seminar in Advanced Lego Robotics Programming</t>
  </si>
  <si>
    <t>Six (6) activities remain for implementation in Quarter 4:
1. Project 1: Activity 1
2. Project 1: Activity 3
3. Project 2: Activity 1
4. Project 3: Activity 1
5. Project 3: Activity 2
6. Project 3: Activity 3</t>
  </si>
  <si>
    <t>One (1) notarized MOA was established, with one (1) additional MOA in process:
1. Brgy. Bucana, Nasugbu, Batangas (established)
2. Bucana Elementary School (for partener agency and legal review)</t>
  </si>
  <si>
    <t>College: College of Criminal Justice Education (CCJE) - Drive.Defend.Deliver: Traffic Rules Advocacy, Legal Assistance Caravan, and Women's Self-Defense Empowerment Program</t>
  </si>
  <si>
    <t>Know Your Rights: Free Legal Consultation and Assistance Caravan</t>
  </si>
  <si>
    <t>Legal on Wheels: Mobile Legal Aid and Rights Awareness</t>
  </si>
  <si>
    <t>Four (4) approved extension programs, ANGAT, FoodTech Hub, SIPAT na UNPLUGGED, have remaining activities scheduled for implementation within Q3-Q4 2026.
Program ANGAT:
Six (six) extension activities are scheduled for implementation, covering,
1. Project 4: Activity 2
2. Project 4: Activity 3
3. Project 4: Activity 4
4. Project 4: Activity 6
5. Project 4: Activity 7
6. Project 4: Activity 8
Program FoodTech Hub:
Five (5) extension activities are scheduled for implementation, covering,
1. Project 3: Activity 4
2. Project 4: Activity 1
3. Project 4: Activity 2
4. Project 4: Activity 3
5. Project 4: Activity 4</t>
  </si>
  <si>
    <t>Program SIPAT:
Twelve (12) extension activities are scheduled for implementation, covering,
1. Project 2: Activity 1
2. Project 2: Activity 2
3. Project 2: Activity 3
4. Project 2: Activity 4
5. Project 2: Activity 5
6. Project 2: Activity 6
7. Project 3: Activity 1
8. Project 3: Activity 2
9. Project 3: Activity 3
10. Project 3: Activity 4
11. Project 3: Activity 5
12. Project 3: Activity 6
Program UNPLUGGED:
Five (5) extension activities are for verification of program leader
1. Project 3: Activity 2
2. Project 3: Activity 3
3. Project 3: Activity 4
4. Project 4: Activity 1
5. Project 4: Activity 2</t>
  </si>
  <si>
    <t>Breakdown of beneficiaries weighted by length of training:
Program ANGAT:
1. Project 3: Activity 3 - 26
2. Project 3: Activity 4 - 25
3. Project 4: Activity 1 - 25
4. Project 4: Activity 5 - 21
5. Project 5: Activity 1 - 25
6. Project 5: Activity 2 - 25
7. Project 5: Activity 3 - 25
Program FoodTech Hub:
1. Project 3: Activity 1 - 30
2. Project 3: Activity 2 - 24
3. Project 3: Activity 3 - 20
Program UNPLUGGED:
1. Project 3: Activity 1 - 30</t>
  </si>
  <si>
    <t>Trainees rating the training satisfactory or higher per activity:
Program ANGAT:
1. Project 3: Activity 3 - 100%
2. Project 3: Activity 4 - 100%
3. Project 4: Activity 1 - 100%
4. Project 4: Activity 5 - 100%
5. Project 5: Activity 1 - 100%
6. Project 5: Activity 2 - 100%
7. Project 5: Activity 3 - 100%
Program FoodTech Hub:
1. Project 3: Activity 1 - 100%
2. Project 3: Activity 2 - 100%
3. Project 3: Activity 3 - 100%
Program UNPLUGGED:
1. Project 3: Activity 1 - 100%</t>
  </si>
  <si>
    <t>Four (4) notarized MOA/MOU was established, meeting the annual target.
1. First Nasugbu Natural Farmers and Irrigators Agriculture Cooperative (FNNFIAC)
2. DepEd Nasugbu West Sub-Office
3. DSWD FO IV-A
4. Abeloved SLP Association</t>
  </si>
  <si>
    <t>College: College of Arts and Sciences (CAS) - ANGAT Program - Advancing Nasugbu-womenios to Gain Aqua-preneurship Training: A
Livelihood and Entrepreneurial Empowerment for women</t>
  </si>
  <si>
    <t>Pre - Activity Preparation</t>
  </si>
  <si>
    <t>Seminar- workshop on the Basic of Fish Processing Quality and Safety</t>
  </si>
  <si>
    <t>College: College of Arts and Sciences (CAS) - BatStateU Nasugbu FoodTech Hub: Empowering Innovation Through Livelihood Training and Development</t>
  </si>
  <si>
    <t>College: College of Arts and Sciences (CAS) - SIPAT (Strengthening Identification, Parent-Teacher Action, and Training) for Inclusive Education)</t>
  </si>
  <si>
    <t>Pre -Activity Preparation</t>
  </si>
  <si>
    <t>College: College of Arts and Sciences (CAS) - UNPLUGGED: The Campus Mobile Journalism Extension Program of BatStateU Nasugbu</t>
  </si>
  <si>
    <t>Five (5) notarized MOA/MOU was established, meeting the annual target.
1. PESO Nasugbu
2. Nasugbu Sugar Planters Agriculture Cooperative (NSPAC)
3. DepEd Nasugbu West Sub-Office
4. Aga Farmers Multi-Purpose Cooperative (AGFAMCO)</t>
  </si>
  <si>
    <t>Faculty Members who took the Basic and Advanced Course in Community Service: 
1. Dr. Cherry D. Abeleda</t>
  </si>
  <si>
    <t>College: College of Accountancy, Business, Economics, and International Hospitality Management (CABEIHM) - GEAR UP AGFAMCO: Growth through Enhanced Accounting and Robust Internal Controls for
Upward Progress of Aga Farmers' Cooperative (AGFAMCO)</t>
  </si>
  <si>
    <t>College: College of Accountancy, Business, Economics, and International Hospitality Management (CABEIHM) - EntrePinoy Masterclass Program</t>
  </si>
  <si>
    <t>College: College of Accountancy, Business, Economics, and International Hospitality Management (CABEIHM) - KITA (Knowledge and Innovation for Training in Agribusiness)</t>
  </si>
  <si>
    <t>Q1 - Q4 2026</t>
  </si>
  <si>
    <t>Q1, Q3, and Q4, 2026</t>
  </si>
  <si>
    <t>College: College of Accountancy, Business, Economics, and International Hospitality Management (CABEIHM) - PAMANA (PAgpapahalaga at MAlayang Pagpapalaganap sa NAsugbueñong Arte at Anyo)</t>
  </si>
  <si>
    <t>Further budget utilization is expected upon implementation of the remaining Q4 activities.</t>
  </si>
  <si>
    <t>UNMET</t>
  </si>
  <si>
    <t>Activities were implemented without utilizing the allocated budget.</t>
  </si>
  <si>
    <t>Breakdown of beneficiaries weighted by length of training:
Program EntrePinoy:
1. Project 2: Activity 3 - 32
2. Project 3: Activity 3 - 25
3. Project 2: Activity 5- 22
4. Project 3: Activity 5- 13
5. Project 2: Activity 6 - 30
6. Project 3: Activity 6 - 25
Program KITA:
1. Project 2: Activity 2 - 30
2. Project 2: Activity 3 - 30
3. Project 2: Activity 4 - 30
Program PAMANA:
1. Project 1: Activity 2 - 30
2. Project 1: Activity 3 - 21
3. Project 1: Activity 4 - 21
4. Project 1: Activity 5 - 19
5. Project 1: Activity 6 - 25
6. Project 1: Activity 7 - 25
7. Project 2: Activity 1- 25
Program Gear-Up AGFAMCO:
1. Project 2: Activity 2 - 19
2. Project 2: Activity 3 -
3. Project 2: Activity 4 -
4. Project 2: Activity 5 -</t>
  </si>
  <si>
    <t>PROGRAM TELA - Project 2 Basics of School Apparel making (Batch 1)</t>
  </si>
  <si>
    <t>MOA/MOU Signing</t>
  </si>
  <si>
    <t>Research-Based Teaching</t>
  </si>
  <si>
    <t>Collaboration for Teaching and Research</t>
  </si>
  <si>
    <t>Action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</si>
</sst>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name val="Calibri"/>
      <family val="2"/>
    </font>
    <font>
      <sz val="11"/>
      <color theme="1"/>
      <name val="Times New Roman"/>
      <family val="1"/>
    </font>
    <font>
      <i/>
      <sz val="13"/>
      <color theme="1"/>
      <name val="Times New Roman"/>
      <family val="1"/>
    </font>
    <font>
      <i/>
      <sz val="13"/>
      <name val="Calibri"/>
      <family val="2"/>
    </font>
    <font>
      <sz val="13"/>
      <color theme="1"/>
      <name val="Times New Roman"/>
      <family val="1"/>
    </font>
    <font>
      <sz val="13"/>
      <name val="Calibri"/>
      <family val="2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C00000"/>
      <name val="Times New Roman"/>
      <family val="1"/>
    </font>
    <font>
      <sz val="11"/>
      <name val="Calibri"/>
      <family val="2"/>
    </font>
    <font>
      <sz val="12"/>
      <color theme="9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rgb="FF9C0006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9" tint="0.79995117038483843"/>
        <bgColor rgb="FFFFC000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1F9EC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F2CB"/>
        <bgColor rgb="FFFFF2CB"/>
      </patternFill>
    </fill>
    <fill>
      <patternFill patternType="solid">
        <fgColor rgb="FFF1F9EC"/>
        <bgColor rgb="FFF1F9EC"/>
      </patternFill>
    </fill>
    <fill>
      <patternFill patternType="solid">
        <fgColor rgb="FFE2EFD9"/>
        <bgColor rgb="FFE2EFD9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FF2CB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4" fillId="11" borderId="0" applyNumberFormat="0" applyBorder="0" applyAlignment="0" applyProtection="0">
      <alignment vertical="center"/>
    </xf>
  </cellStyleXfs>
  <cellXfs count="14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5" fillId="0" borderId="0" xfId="0" applyFont="1" applyAlignment="1">
      <alignment vertical="center"/>
    </xf>
    <xf numFmtId="0" fontId="5" fillId="0" borderId="0" xfId="0" applyFont="1"/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center" vertical="center"/>
    </xf>
    <xf numFmtId="0" fontId="14" fillId="0" borderId="0" xfId="0" applyFont="1" applyFill="1" applyAlignment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13" fillId="0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vertical="center"/>
    </xf>
    <xf numFmtId="0" fontId="5" fillId="0" borderId="0" xfId="0" applyFont="1" applyFill="1"/>
    <xf numFmtId="0" fontId="14" fillId="7" borderId="1" xfId="0" applyFont="1" applyFill="1" applyBorder="1" applyAlignment="1">
      <alignment horizontal="center" vertical="center"/>
    </xf>
    <xf numFmtId="4" fontId="13" fillId="0" borderId="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9" fontId="17" fillId="0" borderId="1" xfId="0" applyNumberFormat="1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10" fontId="13" fillId="0" borderId="1" xfId="0" applyNumberFormat="1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0" fontId="0" fillId="0" borderId="0" xfId="0" applyFont="1" applyFill="1" applyAlignment="1"/>
    <xf numFmtId="0" fontId="0" fillId="0" borderId="0" xfId="0" applyBorder="1"/>
    <xf numFmtId="0" fontId="14" fillId="0" borderId="5" xfId="0" applyFont="1" applyFill="1" applyBorder="1" applyAlignment="1">
      <alignment vertical="center" wrapText="1"/>
    </xf>
    <xf numFmtId="4" fontId="14" fillId="8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18" fillId="0" borderId="0" xfId="0" applyFont="1" applyFill="1" applyAlignment="1">
      <alignment vertical="center"/>
    </xf>
    <xf numFmtId="4" fontId="14" fillId="9" borderId="5" xfId="0" applyNumberFormat="1" applyFont="1" applyFill="1" applyBorder="1" applyAlignment="1">
      <alignment horizontal="center" vertical="center"/>
    </xf>
    <xf numFmtId="9" fontId="14" fillId="0" borderId="5" xfId="0" applyNumberFormat="1" applyFont="1" applyFill="1" applyBorder="1" applyAlignment="1">
      <alignment horizontal="center" vertical="center"/>
    </xf>
    <xf numFmtId="1" fontId="14" fillId="0" borderId="5" xfId="0" applyNumberFormat="1" applyFont="1" applyFill="1" applyBorder="1" applyAlignment="1">
      <alignment horizontal="center" vertical="center"/>
    </xf>
    <xf numFmtId="4" fontId="14" fillId="0" borderId="5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19" fillId="0" borderId="0" xfId="0" applyFont="1" applyFill="1" applyAlignment="1">
      <alignment vertical="center"/>
    </xf>
    <xf numFmtId="0" fontId="14" fillId="9" borderId="5" xfId="0" applyFont="1" applyFill="1" applyBorder="1" applyAlignment="1">
      <alignment horizontal="center" vertical="center"/>
    </xf>
    <xf numFmtId="10" fontId="14" fillId="0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/>
    <xf numFmtId="0" fontId="20" fillId="0" borderId="0" xfId="0" applyFont="1" applyFill="1" applyAlignment="1"/>
    <xf numFmtId="4" fontId="14" fillId="0" borderId="5" xfId="0" applyNumberFormat="1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4" fontId="11" fillId="0" borderId="0" xfId="0" applyNumberFormat="1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/>
    </xf>
    <xf numFmtId="4" fontId="11" fillId="10" borderId="5" xfId="0" applyNumberFormat="1" applyFont="1" applyFill="1" applyBorder="1" applyAlignment="1">
      <alignment horizontal="center" vertical="center" wrapText="1"/>
    </xf>
    <xf numFmtId="4" fontId="11" fillId="10" borderId="5" xfId="0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left" vertical="top" wrapText="1"/>
    </xf>
    <xf numFmtId="0" fontId="22" fillId="0" borderId="5" xfId="0" applyFont="1" applyFill="1" applyBorder="1" applyAlignment="1">
      <alignment vertical="center" wrapText="1"/>
    </xf>
    <xf numFmtId="1" fontId="23" fillId="0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 wrapText="1"/>
    </xf>
    <xf numFmtId="0" fontId="14" fillId="0" borderId="5" xfId="1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3" fontId="17" fillId="0" borderId="5" xfId="0" applyNumberFormat="1" applyFont="1" applyFill="1" applyBorder="1" applyAlignment="1">
      <alignment horizontal="center" vertical="center"/>
    </xf>
    <xf numFmtId="3" fontId="15" fillId="0" borderId="5" xfId="0" applyNumberFormat="1" applyFont="1" applyFill="1" applyBorder="1" applyAlignment="1">
      <alignment horizontal="center" vertical="center"/>
    </xf>
    <xf numFmtId="3" fontId="14" fillId="0" borderId="5" xfId="0" applyNumberFormat="1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horizontal="center" vertical="center"/>
    </xf>
    <xf numFmtId="3" fontId="23" fillId="0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vertical="center" wrapText="1"/>
    </xf>
    <xf numFmtId="0" fontId="14" fillId="0" borderId="7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vertical="center" wrapText="1"/>
    </xf>
    <xf numFmtId="4" fontId="14" fillId="0" borderId="15" xfId="0" applyNumberFormat="1" applyFont="1" applyFill="1" applyBorder="1" applyAlignment="1">
      <alignment horizontal="center" vertical="center"/>
    </xf>
    <xf numFmtId="10" fontId="14" fillId="0" borderId="15" xfId="0" applyNumberFormat="1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vertical="center" wrapText="1"/>
    </xf>
    <xf numFmtId="4" fontId="14" fillId="0" borderId="10" xfId="0" applyNumberFormat="1" applyFont="1" applyFill="1" applyBorder="1" applyAlignment="1">
      <alignment horizontal="center" vertical="center"/>
    </xf>
    <xf numFmtId="10" fontId="14" fillId="0" borderId="10" xfId="0" applyNumberFormat="1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10" fontId="23" fillId="0" borderId="1" xfId="0" applyNumberFormat="1" applyFont="1" applyFill="1" applyBorder="1" applyAlignment="1">
      <alignment horizontal="center" vertical="center"/>
    </xf>
    <xf numFmtId="9" fontId="23" fillId="0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11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3" fillId="0" borderId="2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4" fontId="14" fillId="0" borderId="2" xfId="0" applyNumberFormat="1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4" fontId="14" fillId="0" borderId="4" xfId="0" applyNumberFormat="1" applyFont="1" applyBorder="1" applyAlignment="1">
      <alignment horizontal="center" vertical="center"/>
    </xf>
    <xf numFmtId="4" fontId="13" fillId="0" borderId="12" xfId="0" applyNumberFormat="1" applyFont="1" applyFill="1" applyBorder="1" applyAlignment="1">
      <alignment horizontal="center" vertical="center"/>
    </xf>
    <xf numFmtId="4" fontId="13" fillId="0" borderId="13" xfId="0" applyNumberFormat="1" applyFont="1" applyFill="1" applyBorder="1" applyAlignment="1">
      <alignment horizontal="center" vertical="center"/>
    </xf>
    <xf numFmtId="4" fontId="13" fillId="0" borderId="14" xfId="0" applyNumberFormat="1" applyFont="1" applyFill="1" applyBorder="1" applyAlignment="1">
      <alignment horizontal="center" vertical="center"/>
    </xf>
    <xf numFmtId="10" fontId="13" fillId="0" borderId="12" xfId="0" applyNumberFormat="1" applyFont="1" applyFill="1" applyBorder="1" applyAlignment="1">
      <alignment horizontal="center" vertical="center"/>
    </xf>
    <xf numFmtId="10" fontId="13" fillId="0" borderId="13" xfId="0" applyNumberFormat="1" applyFont="1" applyFill="1" applyBorder="1" applyAlignment="1">
      <alignment horizontal="center" vertical="center"/>
    </xf>
    <xf numFmtId="10" fontId="13" fillId="0" borderId="14" xfId="0" applyNumberFormat="1" applyFont="1" applyFill="1" applyBorder="1" applyAlignment="1">
      <alignment horizontal="center" vertical="center"/>
    </xf>
    <xf numFmtId="4" fontId="13" fillId="0" borderId="2" xfId="0" applyNumberFormat="1" applyFont="1" applyFill="1" applyBorder="1" applyAlignment="1">
      <alignment horizontal="center" vertical="center" wrapText="1"/>
    </xf>
    <xf numFmtId="4" fontId="13" fillId="0" borderId="4" xfId="0" applyNumberFormat="1" applyFont="1" applyFill="1" applyBorder="1" applyAlignment="1">
      <alignment horizontal="center" vertical="center" wrapText="1"/>
    </xf>
    <xf numFmtId="0" fontId="9" fillId="0" borderId="0" xfId="0" applyFont="1" applyBorder="1" applyAlignment="1">
      <alignment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7" xfId="0" applyFont="1" applyFill="1" applyBorder="1" applyAlignment="1">
      <alignment horizontal="left" vertical="center" wrapText="1"/>
    </xf>
    <xf numFmtId="4" fontId="11" fillId="0" borderId="7" xfId="0" applyNumberFormat="1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11" fillId="0" borderId="9" xfId="0" applyFont="1" applyFill="1" applyBorder="1" applyAlignment="1">
      <alignment horizontal="left" vertical="center" wrapText="1"/>
    </xf>
    <xf numFmtId="0" fontId="11" fillId="0" borderId="10" xfId="0" applyFont="1" applyFill="1" applyBorder="1" applyAlignment="1">
      <alignment horizontal="left" vertical="center" wrapText="1"/>
    </xf>
    <xf numFmtId="4" fontId="11" fillId="0" borderId="10" xfId="0" applyNumberFormat="1" applyFont="1" applyFill="1" applyBorder="1" applyAlignment="1">
      <alignment horizontal="left" vertical="center" wrapText="1"/>
    </xf>
    <xf numFmtId="0" fontId="11" fillId="0" borderId="11" xfId="0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1F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668"/>
  <sheetViews>
    <sheetView showGridLines="0" view="pageBreakPreview" zoomScaleNormal="70" workbookViewId="0">
      <selection sqref="A1:H1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s="1" customFormat="1" ht="20" customHeight="1" x14ac:dyDescent="0.2">
      <c r="A1" s="103" t="s">
        <v>0</v>
      </c>
      <c r="B1" s="104"/>
      <c r="C1" s="104"/>
      <c r="D1" s="104"/>
      <c r="E1" s="104"/>
      <c r="F1" s="104"/>
      <c r="G1" s="104"/>
      <c r="H1" s="104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spans="1:19" s="1" customFormat="1" ht="20" customHeight="1" x14ac:dyDescent="0.2">
      <c r="A2" s="105" t="s">
        <v>0</v>
      </c>
      <c r="B2" s="106"/>
      <c r="C2" s="106"/>
      <c r="D2" s="106"/>
      <c r="E2" s="106"/>
      <c r="F2" s="106"/>
      <c r="G2" s="106"/>
      <c r="H2" s="10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7" t="s">
        <v>1</v>
      </c>
      <c r="B3" s="108"/>
      <c r="C3" s="108"/>
      <c r="D3" s="108"/>
      <c r="E3" s="108"/>
      <c r="F3" s="108"/>
      <c r="G3" s="108"/>
      <c r="H3" s="108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7" x14ac:dyDescent="0.2">
      <c r="A4" s="109"/>
      <c r="B4" s="109"/>
      <c r="C4" s="109"/>
      <c r="D4" s="109"/>
      <c r="E4" s="109"/>
      <c r="F4" s="109"/>
      <c r="G4" s="109"/>
      <c r="H4" s="109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s="2" customFormat="1" ht="20" customHeight="1" x14ac:dyDescent="0.2">
      <c r="A5" s="110" t="s">
        <v>2</v>
      </c>
      <c r="B5" s="111"/>
      <c r="C5" s="111"/>
      <c r="D5" s="111"/>
      <c r="E5" s="111"/>
      <c r="F5" s="111"/>
      <c r="G5" s="111"/>
      <c r="H5" s="1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2" t="s">
        <v>3</v>
      </c>
      <c r="B6" s="102"/>
      <c r="C6" s="102"/>
      <c r="D6" s="102"/>
      <c r="E6" s="102"/>
      <c r="F6" s="102"/>
      <c r="G6" s="102"/>
      <c r="H6" s="102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46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104" customHeight="1" x14ac:dyDescent="0.2">
      <c r="A9" s="14" t="s">
        <v>12</v>
      </c>
      <c r="B9" s="15" t="s">
        <v>13</v>
      </c>
      <c r="C9" s="14" t="s">
        <v>14</v>
      </c>
      <c r="D9" s="14">
        <v>10</v>
      </c>
      <c r="E9" s="14">
        <v>10</v>
      </c>
      <c r="F9" s="14">
        <f t="shared" ref="F9:F18" si="0">E9-D9</f>
        <v>0</v>
      </c>
      <c r="G9" s="16" t="s">
        <v>15</v>
      </c>
      <c r="H9" s="15" t="s">
        <v>16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100" customHeight="1" x14ac:dyDescent="0.2">
      <c r="A10" s="14" t="s">
        <v>17</v>
      </c>
      <c r="B10" s="15" t="s">
        <v>18</v>
      </c>
      <c r="C10" s="14" t="s">
        <v>19</v>
      </c>
      <c r="D10" s="14">
        <v>13</v>
      </c>
      <c r="E10" s="14">
        <v>1</v>
      </c>
      <c r="F10" s="18">
        <f t="shared" si="0"/>
        <v>-12</v>
      </c>
      <c r="G10" s="19" t="s">
        <v>20</v>
      </c>
      <c r="H10" s="15" t="s">
        <v>21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02" customHeight="1" x14ac:dyDescent="0.2">
      <c r="A11" s="14" t="s">
        <v>22</v>
      </c>
      <c r="B11" s="15" t="s">
        <v>23</v>
      </c>
      <c r="C11" s="14" t="s">
        <v>19</v>
      </c>
      <c r="D11" s="14">
        <v>1408</v>
      </c>
      <c r="E11" s="14">
        <v>1576</v>
      </c>
      <c r="F11" s="34">
        <f t="shared" si="0"/>
        <v>168</v>
      </c>
      <c r="G11" s="16" t="s">
        <v>15</v>
      </c>
      <c r="H11" s="15" t="s">
        <v>24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8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22">
        <f t="shared" si="0"/>
        <v>3.0000000000000027E-2</v>
      </c>
      <c r="G12" s="16" t="s">
        <v>15</v>
      </c>
      <c r="H12" s="15" t="s">
        <v>27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13" customHeight="1" x14ac:dyDescent="0.2">
      <c r="A13" s="14" t="s">
        <v>28</v>
      </c>
      <c r="B13" s="15" t="s">
        <v>29</v>
      </c>
      <c r="C13" s="14" t="s">
        <v>19</v>
      </c>
      <c r="D13" s="23">
        <v>15</v>
      </c>
      <c r="E13" s="23">
        <v>12</v>
      </c>
      <c r="F13" s="24">
        <f t="shared" si="0"/>
        <v>-3</v>
      </c>
      <c r="G13" s="19" t="s">
        <v>20</v>
      </c>
      <c r="H13" s="15" t="s">
        <v>30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61" customHeight="1" x14ac:dyDescent="0.2">
      <c r="A14" s="14" t="s">
        <v>31</v>
      </c>
      <c r="B14" s="15" t="s">
        <v>32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34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46" customHeight="1" x14ac:dyDescent="0.2">
      <c r="A15" s="14" t="s">
        <v>35</v>
      </c>
      <c r="B15" s="15" t="s">
        <v>36</v>
      </c>
      <c r="C15" s="14" t="s">
        <v>33</v>
      </c>
      <c r="D15" s="23">
        <v>1</v>
      </c>
      <c r="E15" s="23">
        <v>1</v>
      </c>
      <c r="F15" s="24">
        <f t="shared" ref="F15" si="1">E15-D15</f>
        <v>0</v>
      </c>
      <c r="G15" s="16" t="s">
        <v>15</v>
      </c>
      <c r="H15" s="15" t="s">
        <v>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4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1</v>
      </c>
      <c r="F16" s="24">
        <f t="shared" ref="F16" si="2">E16-D16</f>
        <v>0</v>
      </c>
      <c r="G16" s="16" t="s">
        <v>15</v>
      </c>
      <c r="H16" s="15" t="s">
        <v>40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44" customHeight="1" x14ac:dyDescent="0.2">
      <c r="A17" s="14" t="s">
        <v>41</v>
      </c>
      <c r="B17" s="15" t="s">
        <v>42</v>
      </c>
      <c r="C17" s="14" t="s">
        <v>33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43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6" customHeight="1" x14ac:dyDescent="0.2">
      <c r="A18" s="14" t="s">
        <v>44</v>
      </c>
      <c r="B18" s="15" t="s">
        <v>45</v>
      </c>
      <c r="C18" s="14" t="s">
        <v>33</v>
      </c>
      <c r="D18" s="23">
        <v>1</v>
      </c>
      <c r="E18" s="23">
        <v>1</v>
      </c>
      <c r="F18" s="24">
        <f t="shared" si="0"/>
        <v>0</v>
      </c>
      <c r="G18" s="16" t="s">
        <v>15</v>
      </c>
      <c r="H18" s="15" t="s">
        <v>46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4" customFormat="1" ht="55" customHeight="1" x14ac:dyDescent="0.2">
      <c r="A19" s="14" t="s">
        <v>47</v>
      </c>
      <c r="B19" s="15" t="s">
        <v>48</v>
      </c>
      <c r="C19" s="14" t="s">
        <v>33</v>
      </c>
      <c r="D19" s="23">
        <v>1</v>
      </c>
      <c r="E19" s="23">
        <v>1</v>
      </c>
      <c r="F19" s="24">
        <f t="shared" ref="F19:F22" si="3">E19-D19</f>
        <v>0</v>
      </c>
      <c r="G19" s="16" t="s">
        <v>15</v>
      </c>
      <c r="H19" s="15" t="s">
        <v>37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s="4" customFormat="1" ht="70" customHeight="1" x14ac:dyDescent="0.2">
      <c r="A20" s="14" t="s">
        <v>49</v>
      </c>
      <c r="B20" s="15" t="s">
        <v>50</v>
      </c>
      <c r="C20" s="14" t="s">
        <v>51</v>
      </c>
      <c r="D20" s="23">
        <v>2</v>
      </c>
      <c r="E20" s="23">
        <v>2</v>
      </c>
      <c r="F20" s="24">
        <f t="shared" ref="F20" si="4">E20-D20</f>
        <v>0</v>
      </c>
      <c r="G20" s="16" t="s">
        <v>15</v>
      </c>
      <c r="H20" s="15" t="s">
        <v>52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s="4" customFormat="1" ht="104" customHeight="1" x14ac:dyDescent="0.2">
      <c r="A21" s="14" t="s">
        <v>53</v>
      </c>
      <c r="B21" s="15" t="s">
        <v>54</v>
      </c>
      <c r="C21" s="14" t="s">
        <v>51</v>
      </c>
      <c r="D21" s="23">
        <v>11</v>
      </c>
      <c r="E21" s="23">
        <v>11</v>
      </c>
      <c r="F21" s="24">
        <f t="shared" si="3"/>
        <v>0</v>
      </c>
      <c r="G21" s="16" t="s">
        <v>15</v>
      </c>
      <c r="H21" s="15" t="s">
        <v>55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s="4" customFormat="1" ht="119" customHeight="1" x14ac:dyDescent="0.2">
      <c r="A22" s="14" t="s">
        <v>56</v>
      </c>
      <c r="B22" s="15" t="s">
        <v>57</v>
      </c>
      <c r="C22" s="14" t="s">
        <v>58</v>
      </c>
      <c r="D22" s="21">
        <v>0.7</v>
      </c>
      <c r="E22" s="21">
        <v>0.34079999999999999</v>
      </c>
      <c r="F22" s="99">
        <f t="shared" si="3"/>
        <v>-0.35919999999999996</v>
      </c>
      <c r="G22" s="19" t="s">
        <v>20</v>
      </c>
      <c r="H22" s="15" t="s">
        <v>59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ht="15.75" customHeight="1" x14ac:dyDescent="0.2">
      <c r="A23" s="7"/>
      <c r="B23" s="7"/>
      <c r="C23" s="7"/>
      <c r="D23" s="7"/>
      <c r="E23" s="7"/>
      <c r="F23" s="31"/>
      <c r="G23" s="31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ht="15.75" customHeight="1" x14ac:dyDescent="0.2">
      <c r="A24" s="7"/>
      <c r="B24" s="7"/>
      <c r="C24" s="7"/>
      <c r="D24" s="7"/>
      <c r="E24" s="7"/>
      <c r="F24" s="31"/>
      <c r="G24" s="31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ht="15.75" customHeight="1" x14ac:dyDescent="0.2">
      <c r="A25" s="7"/>
      <c r="B25" s="7"/>
      <c r="C25" s="7"/>
      <c r="D25" s="7"/>
      <c r="E25" s="7"/>
      <c r="F25" s="31"/>
      <c r="G25" s="31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ht="15.75" customHeight="1" x14ac:dyDescent="0.2">
      <c r="A26" s="7"/>
      <c r="B26" s="7"/>
      <c r="C26" s="7"/>
      <c r="D26" s="7"/>
      <c r="E26" s="7"/>
      <c r="F26" s="31"/>
      <c r="G26" s="31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ht="15.75" customHeight="1" x14ac:dyDescent="0.2">
      <c r="A27" s="7"/>
      <c r="B27" s="7"/>
      <c r="C27" s="7"/>
      <c r="D27" s="7"/>
      <c r="E27" s="7"/>
      <c r="F27" s="31"/>
      <c r="G27" s="31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spans="1:19" ht="15.75" customHeight="1" x14ac:dyDescent="0.2">
      <c r="A28" s="7"/>
      <c r="B28" s="7"/>
      <c r="C28" s="7"/>
      <c r="D28" s="7"/>
      <c r="E28" s="7"/>
      <c r="F28" s="31"/>
      <c r="G28" s="31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ht="15.75" customHeight="1" x14ac:dyDescent="0.2">
      <c r="A29" s="7"/>
      <c r="B29" s="7"/>
      <c r="C29" s="7"/>
      <c r="D29" s="7"/>
      <c r="E29" s="7"/>
      <c r="F29" s="31"/>
      <c r="G29" s="31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ht="15.75" customHeight="1" x14ac:dyDescent="0.2">
      <c r="A30" s="7"/>
      <c r="B30" s="7"/>
      <c r="C30" s="7"/>
      <c r="D30" s="7"/>
      <c r="E30" s="7"/>
      <c r="F30" s="31"/>
      <c r="G30" s="31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ht="15.75" customHeight="1" x14ac:dyDescent="0.2">
      <c r="A31" s="7"/>
      <c r="B31" s="7"/>
      <c r="C31" s="7"/>
      <c r="D31" s="7"/>
      <c r="E31" s="7"/>
      <c r="F31" s="31"/>
      <c r="G31" s="31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ht="15.75" customHeight="1" x14ac:dyDescent="0.2">
      <c r="A32" s="7"/>
      <c r="B32" s="7"/>
      <c r="C32" s="7"/>
      <c r="D32" s="7"/>
      <c r="E32" s="7"/>
      <c r="F32" s="31"/>
      <c r="G32" s="31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ht="15.75" customHeight="1" x14ac:dyDescent="0.2">
      <c r="A33" s="7"/>
      <c r="B33" s="7"/>
      <c r="C33" s="7"/>
      <c r="D33" s="7"/>
      <c r="E33" s="7"/>
      <c r="F33" s="31"/>
      <c r="G33" s="31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ht="15.75" customHeight="1" x14ac:dyDescent="0.2">
      <c r="A34" s="7"/>
      <c r="B34" s="7"/>
      <c r="C34" s="7"/>
      <c r="D34" s="7"/>
      <c r="E34" s="7"/>
      <c r="F34" s="31"/>
      <c r="G34" s="31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ht="15.75" customHeight="1" x14ac:dyDescent="0.2">
      <c r="A35" s="7"/>
      <c r="B35" s="7"/>
      <c r="C35" s="7"/>
      <c r="D35" s="7"/>
      <c r="E35" s="7"/>
      <c r="F35" s="31"/>
      <c r="G35" s="31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ht="15.75" customHeight="1" x14ac:dyDescent="0.2">
      <c r="A36" s="7"/>
      <c r="B36" s="7"/>
      <c r="C36" s="7"/>
      <c r="D36" s="7"/>
      <c r="E36" s="7"/>
      <c r="F36" s="31"/>
      <c r="G36" s="31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ht="15.75" customHeight="1" x14ac:dyDescent="0.2">
      <c r="A37" s="7"/>
      <c r="B37" s="7"/>
      <c r="C37" s="7"/>
      <c r="D37" s="7"/>
      <c r="E37" s="7"/>
      <c r="F37" s="31"/>
      <c r="G37" s="31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ht="15.75" customHeight="1" x14ac:dyDescent="0.2">
      <c r="A38" s="7"/>
      <c r="B38" s="7"/>
      <c r="C38" s="7"/>
      <c r="D38" s="7"/>
      <c r="E38" s="7"/>
      <c r="F38" s="31"/>
      <c r="G38" s="31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ht="15.75" customHeight="1" x14ac:dyDescent="0.2">
      <c r="A39" s="7"/>
      <c r="B39" s="7"/>
      <c r="C39" s="7"/>
      <c r="D39" s="7"/>
      <c r="E39" s="7"/>
      <c r="F39" s="31"/>
      <c r="G39" s="31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ht="15.75" customHeight="1" x14ac:dyDescent="0.2">
      <c r="A40" s="7"/>
      <c r="B40" s="7"/>
      <c r="C40" s="7"/>
      <c r="D40" s="7"/>
      <c r="E40" s="7"/>
      <c r="F40" s="31"/>
      <c r="G40" s="31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ht="15.75" customHeight="1" x14ac:dyDescent="0.2">
      <c r="A41" s="7"/>
      <c r="B41" s="7"/>
      <c r="C41" s="7"/>
      <c r="D41" s="7"/>
      <c r="E41" s="7"/>
      <c r="F41" s="31"/>
      <c r="G41" s="31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</row>
    <row r="42" spans="1:19" ht="15.75" customHeight="1" x14ac:dyDescent="0.2">
      <c r="A42" s="7"/>
      <c r="B42" s="7"/>
      <c r="C42" s="7"/>
      <c r="D42" s="7"/>
      <c r="E42" s="7"/>
      <c r="F42" s="31"/>
      <c r="G42" s="31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ht="15.75" customHeight="1" x14ac:dyDescent="0.2">
      <c r="A43" s="7"/>
      <c r="B43" s="7"/>
      <c r="C43" s="7"/>
      <c r="D43" s="7"/>
      <c r="E43" s="7"/>
      <c r="F43" s="31"/>
      <c r="G43" s="31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ht="15.75" customHeight="1" x14ac:dyDescent="0.2">
      <c r="A44" s="7"/>
      <c r="B44" s="7"/>
      <c r="C44" s="7"/>
      <c r="D44" s="7"/>
      <c r="E44" s="7"/>
      <c r="F44" s="31"/>
      <c r="G44" s="31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ht="15.75" customHeight="1" x14ac:dyDescent="0.2">
      <c r="A45" s="7"/>
      <c r="B45" s="7"/>
      <c r="C45" s="7"/>
      <c r="D45" s="7"/>
      <c r="E45" s="7"/>
      <c r="F45" s="31"/>
      <c r="G45" s="31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15.75" customHeight="1" x14ac:dyDescent="0.2">
      <c r="A46" s="7"/>
      <c r="B46" s="7"/>
      <c r="C46" s="7"/>
      <c r="D46" s="7"/>
      <c r="E46" s="7"/>
      <c r="F46" s="31"/>
      <c r="G46" s="31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ht="15.75" customHeight="1" x14ac:dyDescent="0.2">
      <c r="A47" s="7"/>
      <c r="B47" s="7"/>
      <c r="C47" s="7"/>
      <c r="D47" s="7"/>
      <c r="E47" s="7"/>
      <c r="F47" s="31"/>
      <c r="G47" s="31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ht="15.75" customHeight="1" x14ac:dyDescent="0.2">
      <c r="A48" s="7"/>
      <c r="B48" s="7"/>
      <c r="C48" s="7"/>
      <c r="D48" s="7"/>
      <c r="E48" s="7"/>
      <c r="F48" s="31"/>
      <c r="G48" s="31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ht="15.75" customHeight="1" x14ac:dyDescent="0.2">
      <c r="A49" s="7"/>
      <c r="B49" s="7"/>
      <c r="C49" s="7"/>
      <c r="D49" s="7"/>
      <c r="E49" s="7"/>
      <c r="F49" s="31"/>
      <c r="G49" s="31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ht="15.75" customHeight="1" x14ac:dyDescent="0.2">
      <c r="A50" s="7"/>
      <c r="B50" s="7"/>
      <c r="C50" s="7"/>
      <c r="D50" s="7"/>
      <c r="E50" s="7"/>
      <c r="F50" s="31"/>
      <c r="G50" s="31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ht="15.75" customHeight="1" x14ac:dyDescent="0.2">
      <c r="A51" s="7"/>
      <c r="B51" s="7"/>
      <c r="C51" s="7"/>
      <c r="D51" s="7"/>
      <c r="E51" s="7"/>
      <c r="F51" s="31"/>
      <c r="G51" s="31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ht="15.75" customHeight="1" x14ac:dyDescent="0.2">
      <c r="A52" s="7"/>
      <c r="B52" s="7"/>
      <c r="C52" s="7"/>
      <c r="D52" s="7"/>
      <c r="E52" s="7"/>
      <c r="F52" s="31"/>
      <c r="G52" s="31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15.75" customHeight="1" x14ac:dyDescent="0.2">
      <c r="A53" s="7"/>
      <c r="B53" s="7"/>
      <c r="C53" s="7"/>
      <c r="D53" s="7"/>
      <c r="E53" s="7"/>
      <c r="F53" s="31"/>
      <c r="G53" s="31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ht="15.75" customHeight="1" x14ac:dyDescent="0.2">
      <c r="A54" s="7"/>
      <c r="B54" s="7"/>
      <c r="C54" s="7"/>
      <c r="D54" s="7"/>
      <c r="E54" s="7"/>
      <c r="F54" s="31"/>
      <c r="G54" s="31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ht="15.75" customHeight="1" x14ac:dyDescent="0.2">
      <c r="A55" s="7"/>
      <c r="B55" s="7"/>
      <c r="C55" s="7"/>
      <c r="D55" s="7"/>
      <c r="E55" s="7"/>
      <c r="F55" s="31"/>
      <c r="G55" s="31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ht="15.75" customHeight="1" x14ac:dyDescent="0.2">
      <c r="A56" s="7"/>
      <c r="B56" s="7"/>
      <c r="C56" s="7"/>
      <c r="D56" s="7"/>
      <c r="E56" s="7"/>
      <c r="F56" s="31"/>
      <c r="G56" s="31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ht="15.75" customHeight="1" x14ac:dyDescent="0.2">
      <c r="A57" s="7"/>
      <c r="B57" s="7"/>
      <c r="C57" s="7"/>
      <c r="D57" s="7"/>
      <c r="E57" s="7"/>
      <c r="F57" s="31"/>
      <c r="G57" s="31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ht="15.75" customHeight="1" x14ac:dyDescent="0.2">
      <c r="A58" s="7"/>
      <c r="B58" s="7"/>
      <c r="C58" s="7"/>
      <c r="D58" s="7"/>
      <c r="E58" s="7"/>
      <c r="F58" s="31"/>
      <c r="G58" s="31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ht="15.75" customHeight="1" x14ac:dyDescent="0.2">
      <c r="A59" s="7"/>
      <c r="B59" s="7"/>
      <c r="C59" s="7"/>
      <c r="D59" s="7"/>
      <c r="E59" s="7"/>
      <c r="F59" s="31"/>
      <c r="G59" s="31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ht="15.75" customHeight="1" x14ac:dyDescent="0.2">
      <c r="A60" s="7"/>
      <c r="B60" s="7"/>
      <c r="C60" s="7"/>
      <c r="D60" s="7"/>
      <c r="E60" s="7"/>
      <c r="F60" s="31"/>
      <c r="G60" s="31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ht="15.75" customHeight="1" x14ac:dyDescent="0.2">
      <c r="A61" s="7"/>
      <c r="B61" s="7"/>
      <c r="C61" s="7"/>
      <c r="D61" s="7"/>
      <c r="E61" s="7"/>
      <c r="F61" s="31"/>
      <c r="G61" s="31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ht="15.75" customHeight="1" x14ac:dyDescent="0.2">
      <c r="A62" s="7"/>
      <c r="B62" s="7"/>
      <c r="C62" s="7"/>
      <c r="D62" s="7"/>
      <c r="E62" s="7"/>
      <c r="F62" s="31"/>
      <c r="G62" s="31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ht="15.75" customHeight="1" x14ac:dyDescent="0.2">
      <c r="A63" s="7"/>
      <c r="B63" s="7"/>
      <c r="C63" s="7"/>
      <c r="D63" s="7"/>
      <c r="E63" s="7"/>
      <c r="F63" s="31"/>
      <c r="G63" s="31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ht="15.75" customHeight="1" x14ac:dyDescent="0.2">
      <c r="A64" s="7"/>
      <c r="B64" s="7"/>
      <c r="C64" s="7"/>
      <c r="D64" s="7"/>
      <c r="E64" s="7"/>
      <c r="F64" s="31"/>
      <c r="G64" s="31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ht="15.75" customHeight="1" x14ac:dyDescent="0.2">
      <c r="A65" s="7"/>
      <c r="B65" s="7"/>
      <c r="C65" s="7"/>
      <c r="D65" s="7"/>
      <c r="E65" s="7"/>
      <c r="F65" s="31"/>
      <c r="G65" s="31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ht="15.75" customHeight="1" x14ac:dyDescent="0.2">
      <c r="A66" s="7"/>
      <c r="B66" s="7"/>
      <c r="C66" s="7"/>
      <c r="D66" s="7"/>
      <c r="E66" s="7"/>
      <c r="F66" s="31"/>
      <c r="G66" s="31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ht="15.75" customHeight="1" x14ac:dyDescent="0.2">
      <c r="A67" s="7"/>
      <c r="B67" s="7"/>
      <c r="C67" s="7"/>
      <c r="D67" s="7"/>
      <c r="E67" s="7"/>
      <c r="F67" s="31"/>
      <c r="G67" s="31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ht="15.75" customHeight="1" x14ac:dyDescent="0.2">
      <c r="A68" s="7"/>
      <c r="B68" s="7"/>
      <c r="C68" s="7"/>
      <c r="D68" s="7"/>
      <c r="E68" s="7"/>
      <c r="F68" s="31"/>
      <c r="G68" s="31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ht="15.75" customHeight="1" x14ac:dyDescent="0.2">
      <c r="A69" s="7"/>
      <c r="B69" s="7"/>
      <c r="C69" s="7"/>
      <c r="D69" s="7"/>
      <c r="E69" s="7"/>
      <c r="F69" s="31"/>
      <c r="G69" s="3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ht="15.75" customHeight="1" x14ac:dyDescent="0.2">
      <c r="A70" s="7"/>
      <c r="B70" s="7"/>
      <c r="C70" s="7"/>
      <c r="D70" s="7"/>
      <c r="E70" s="7"/>
      <c r="F70" s="31"/>
      <c r="G70" s="3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ht="15.75" customHeight="1" x14ac:dyDescent="0.2">
      <c r="A71" s="7"/>
      <c r="B71" s="7"/>
      <c r="C71" s="7"/>
      <c r="D71" s="7"/>
      <c r="E71" s="7"/>
      <c r="F71" s="31"/>
      <c r="G71" s="31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ht="15.75" customHeight="1" x14ac:dyDescent="0.2">
      <c r="A72" s="7"/>
      <c r="B72" s="7"/>
      <c r="C72" s="7"/>
      <c r="D72" s="7"/>
      <c r="E72" s="7"/>
      <c r="F72" s="31"/>
      <c r="G72" s="31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ht="15.75" customHeight="1" x14ac:dyDescent="0.2">
      <c r="A73" s="7"/>
      <c r="B73" s="7"/>
      <c r="C73" s="7"/>
      <c r="D73" s="7"/>
      <c r="E73" s="7"/>
      <c r="F73" s="31"/>
      <c r="G73" s="31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ht="15.75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5.75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5.75" customHeight="1" x14ac:dyDescent="0.2">
      <c r="A76" s="7"/>
      <c r="B76" s="7"/>
      <c r="C76" s="7"/>
      <c r="D76" s="7"/>
      <c r="E76" s="7"/>
      <c r="F76" s="31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5.75" customHeight="1" x14ac:dyDescent="0.2">
      <c r="A77" s="7"/>
      <c r="B77" s="7"/>
      <c r="C77" s="7"/>
      <c r="D77" s="7"/>
      <c r="E77" s="7"/>
      <c r="F77" s="31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5.75" customHeight="1" x14ac:dyDescent="0.2">
      <c r="A78" s="7"/>
      <c r="B78" s="7"/>
      <c r="C78" s="7"/>
      <c r="D78" s="7"/>
      <c r="E78" s="7"/>
      <c r="F78" s="31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5.75" customHeight="1" x14ac:dyDescent="0.2">
      <c r="A79" s="7"/>
      <c r="B79" s="7"/>
      <c r="C79" s="7"/>
      <c r="D79" s="7"/>
      <c r="E79" s="7"/>
      <c r="F79" s="31"/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" customHeight="1" x14ac:dyDescent="0.2">
      <c r="A668" s="7"/>
      <c r="B668" s="7"/>
      <c r="C668" s="7"/>
      <c r="D668" s="7"/>
      <c r="E668" s="7"/>
      <c r="F668" s="31"/>
      <c r="G668" s="31"/>
      <c r="H668" s="7"/>
    </row>
  </sheetData>
  <mergeCells count="6">
    <mergeCell ref="A6:H6"/>
    <mergeCell ref="A1:H1"/>
    <mergeCell ref="A2:H2"/>
    <mergeCell ref="A3:H3"/>
    <mergeCell ref="A4:H4"/>
    <mergeCell ref="A5:H5"/>
  </mergeCells>
  <dataValidations count="1">
    <dataValidation type="list" allowBlank="1" showInputMessage="1" showErrorMessage="1" sqref="G9:G22" xr:uid="{00000000-0002-0000-0000-000001000000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790"/>
  <sheetViews>
    <sheetView showGridLines="0" view="pageBreakPreview" topLeftCell="A45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ht="10" customHeight="1" x14ac:dyDescent="0.2">
      <c r="A1" s="109"/>
      <c r="B1" s="109"/>
      <c r="C1" s="109"/>
      <c r="D1" s="109"/>
      <c r="E1" s="109"/>
      <c r="F1" s="109"/>
      <c r="G1" s="109"/>
      <c r="H1" s="109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s="1" customFormat="1" ht="20" customHeight="1" x14ac:dyDescent="0.2">
      <c r="A2" s="103" t="s">
        <v>0</v>
      </c>
      <c r="B2" s="104"/>
      <c r="C2" s="104"/>
      <c r="D2" s="104"/>
      <c r="E2" s="104"/>
      <c r="F2" s="104"/>
      <c r="G2" s="104"/>
      <c r="H2" s="10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5" t="s">
        <v>60</v>
      </c>
      <c r="B3" s="106"/>
      <c r="C3" s="106"/>
      <c r="D3" s="106"/>
      <c r="E3" s="106"/>
      <c r="F3" s="106"/>
      <c r="G3" s="106"/>
      <c r="H3" s="10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7" t="s">
        <v>61</v>
      </c>
      <c r="B4" s="108"/>
      <c r="C4" s="108"/>
      <c r="D4" s="108"/>
      <c r="E4" s="108"/>
      <c r="F4" s="108"/>
      <c r="G4" s="108"/>
      <c r="H4" s="108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2" customFormat="1" ht="20" customHeight="1" x14ac:dyDescent="0.2">
      <c r="A5" s="110" t="s">
        <v>2</v>
      </c>
      <c r="B5" s="111"/>
      <c r="C5" s="111"/>
      <c r="D5" s="111"/>
      <c r="E5" s="111"/>
      <c r="F5" s="111"/>
      <c r="G5" s="111"/>
      <c r="H5" s="111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2" t="s">
        <v>3</v>
      </c>
      <c r="B6" s="102"/>
      <c r="C6" s="102"/>
      <c r="D6" s="102"/>
      <c r="E6" s="102"/>
      <c r="F6" s="102"/>
      <c r="G6" s="102"/>
      <c r="H6" s="102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5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38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113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67" customHeight="1" x14ac:dyDescent="0.2">
      <c r="A9" s="14" t="s">
        <v>12</v>
      </c>
      <c r="B9" s="15" t="s">
        <v>13</v>
      </c>
      <c r="C9" s="14" t="s">
        <v>14</v>
      </c>
      <c r="D9" s="14">
        <v>1</v>
      </c>
      <c r="E9" s="14">
        <v>1</v>
      </c>
      <c r="F9" s="14">
        <f t="shared" ref="F9:F17" si="0">E9-D9</f>
        <v>0</v>
      </c>
      <c r="G9" s="16" t="s">
        <v>15</v>
      </c>
      <c r="H9" s="15" t="s">
        <v>114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82" customHeight="1" x14ac:dyDescent="0.2">
      <c r="A10" s="14" t="s">
        <v>17</v>
      </c>
      <c r="B10" s="15" t="s">
        <v>18</v>
      </c>
      <c r="C10" s="14" t="s">
        <v>19</v>
      </c>
      <c r="D10" s="14">
        <v>1</v>
      </c>
      <c r="E10" s="14">
        <v>0</v>
      </c>
      <c r="F10" s="70">
        <f t="shared" si="0"/>
        <v>-1</v>
      </c>
      <c r="G10" s="19" t="s">
        <v>20</v>
      </c>
      <c r="H10" s="15" t="s">
        <v>115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15" customHeight="1" x14ac:dyDescent="0.2">
      <c r="A11" s="14" t="s">
        <v>22</v>
      </c>
      <c r="B11" s="15" t="s">
        <v>23</v>
      </c>
      <c r="C11" s="14" t="s">
        <v>19</v>
      </c>
      <c r="D11" s="14">
        <v>109</v>
      </c>
      <c r="E11" s="14">
        <v>101</v>
      </c>
      <c r="F11" s="70">
        <f t="shared" si="0"/>
        <v>-8</v>
      </c>
      <c r="G11" s="16" t="s">
        <v>15</v>
      </c>
      <c r="H11" s="15" t="s">
        <v>116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4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35">
        <f t="shared" si="0"/>
        <v>0.03</v>
      </c>
      <c r="G12" s="16" t="s">
        <v>15</v>
      </c>
      <c r="H12" s="15" t="s">
        <v>117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67" customHeight="1" x14ac:dyDescent="0.2">
      <c r="A13" s="14" t="s">
        <v>28</v>
      </c>
      <c r="B13" s="15" t="s">
        <v>29</v>
      </c>
      <c r="C13" s="14" t="s">
        <v>19</v>
      </c>
      <c r="D13" s="23">
        <v>1</v>
      </c>
      <c r="E13" s="23">
        <v>1</v>
      </c>
      <c r="F13" s="24">
        <f t="shared" si="0"/>
        <v>0</v>
      </c>
      <c r="G13" s="16" t="s">
        <v>15</v>
      </c>
      <c r="H13" s="15" t="s">
        <v>118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5" customHeight="1" x14ac:dyDescent="0.2">
      <c r="A14" s="14" t="s">
        <v>41</v>
      </c>
      <c r="B14" s="15" t="s">
        <v>42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119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6" customHeight="1" x14ac:dyDescent="0.2">
      <c r="A15" s="14" t="s">
        <v>44</v>
      </c>
      <c r="B15" s="15" t="s">
        <v>45</v>
      </c>
      <c r="C15" s="14" t="s">
        <v>33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120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70" customHeight="1" x14ac:dyDescent="0.2">
      <c r="A16" s="14" t="s">
        <v>53</v>
      </c>
      <c r="B16" s="15" t="s">
        <v>54</v>
      </c>
      <c r="C16" s="14" t="s">
        <v>51</v>
      </c>
      <c r="D16" s="23">
        <v>1</v>
      </c>
      <c r="E16" s="23">
        <v>1</v>
      </c>
      <c r="F16" s="24">
        <f t="shared" si="0"/>
        <v>0</v>
      </c>
      <c r="G16" s="16" t="s">
        <v>15</v>
      </c>
      <c r="H16" s="15" t="s">
        <v>121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34" customHeight="1" x14ac:dyDescent="0.2">
      <c r="A17" s="14" t="s">
        <v>56</v>
      </c>
      <c r="B17" s="15" t="s">
        <v>57</v>
      </c>
      <c r="C17" s="14" t="s">
        <v>58</v>
      </c>
      <c r="D17" s="21">
        <v>0.7</v>
      </c>
      <c r="E17" s="21">
        <v>0.88</v>
      </c>
      <c r="F17" s="35">
        <f t="shared" si="0"/>
        <v>0.18</v>
      </c>
      <c r="G17" s="16" t="s">
        <v>15</v>
      </c>
      <c r="H17" s="15" t="s">
        <v>122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24" customHeight="1" x14ac:dyDescent="0.2">
      <c r="A18" s="29"/>
      <c r="B18" s="30"/>
      <c r="C18" s="29"/>
      <c r="D18" s="71"/>
      <c r="E18" s="71"/>
      <c r="F18" s="72"/>
      <c r="G18" s="72"/>
      <c r="H18" s="30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1" customFormat="1" ht="20" customHeight="1" x14ac:dyDescent="0.2">
      <c r="A19" s="103" t="s">
        <v>0</v>
      </c>
      <c r="B19" s="104"/>
      <c r="C19" s="104"/>
      <c r="D19" s="104"/>
      <c r="E19" s="104"/>
      <c r="F19" s="104"/>
      <c r="G19" s="104"/>
      <c r="H19" s="10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s="1" customFormat="1" ht="20" customHeight="1" x14ac:dyDescent="0.2">
      <c r="A20" s="105" t="s">
        <v>60</v>
      </c>
      <c r="B20" s="106"/>
      <c r="C20" s="106"/>
      <c r="D20" s="106"/>
      <c r="E20" s="106"/>
      <c r="F20" s="106"/>
      <c r="G20" s="106"/>
      <c r="H20" s="10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7" t="s">
        <v>123</v>
      </c>
      <c r="B21" s="108"/>
      <c r="C21" s="108"/>
      <c r="D21" s="108"/>
      <c r="E21" s="108"/>
      <c r="F21" s="108"/>
      <c r="G21" s="108"/>
      <c r="H21" s="108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7" x14ac:dyDescent="0.2">
      <c r="A22" s="109"/>
      <c r="B22" s="109"/>
      <c r="C22" s="109"/>
      <c r="D22" s="109"/>
      <c r="E22" s="109"/>
      <c r="F22" s="109"/>
      <c r="G22" s="109"/>
      <c r="H22" s="109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2" customFormat="1" ht="20" customHeight="1" x14ac:dyDescent="0.2">
      <c r="A23" s="110" t="s">
        <v>62</v>
      </c>
      <c r="B23" s="111"/>
      <c r="C23" s="111"/>
      <c r="D23" s="111"/>
      <c r="E23" s="111"/>
      <c r="F23" s="111"/>
      <c r="G23" s="111"/>
      <c r="H23" s="11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s="2" customFormat="1" ht="20" customHeight="1" x14ac:dyDescent="0.2">
      <c r="A24" s="102" t="s">
        <v>63</v>
      </c>
      <c r="B24" s="102"/>
      <c r="C24" s="102"/>
      <c r="D24" s="102"/>
      <c r="E24" s="102"/>
      <c r="F24" s="102"/>
      <c r="G24" s="102"/>
      <c r="H24" s="102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8"/>
      <c r="B25" s="9"/>
      <c r="C25" s="9"/>
      <c r="D25" s="9"/>
      <c r="E25" s="9"/>
      <c r="F25" s="9"/>
      <c r="G25" s="9"/>
      <c r="H25" s="9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3" customFormat="1" ht="24" customHeight="1" x14ac:dyDescent="0.2">
      <c r="A26" s="11" t="s">
        <v>124</v>
      </c>
      <c r="B26" s="12" t="s">
        <v>65</v>
      </c>
      <c r="C26" s="11" t="s">
        <v>66</v>
      </c>
      <c r="D26" s="12" t="s">
        <v>67</v>
      </c>
      <c r="E26" s="11" t="s">
        <v>68</v>
      </c>
      <c r="F26" s="11" t="s">
        <v>69</v>
      </c>
      <c r="G26" s="12" t="s">
        <v>70</v>
      </c>
      <c r="H26" s="11" t="s">
        <v>57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</row>
    <row r="27" spans="1:19" s="3" customFormat="1" ht="24" customHeight="1" x14ac:dyDescent="0.2">
      <c r="A27" s="112" t="s">
        <v>125</v>
      </c>
      <c r="B27" s="113"/>
      <c r="C27" s="113"/>
      <c r="D27" s="113"/>
      <c r="E27" s="113"/>
      <c r="F27" s="113"/>
      <c r="G27" s="113"/>
      <c r="H27" s="114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5" customFormat="1" ht="38" customHeight="1" x14ac:dyDescent="0.2">
      <c r="A28" s="14">
        <v>1</v>
      </c>
      <c r="B28" s="15" t="s">
        <v>71</v>
      </c>
      <c r="C28" s="14" t="s">
        <v>72</v>
      </c>
      <c r="D28" s="14" t="s">
        <v>72</v>
      </c>
      <c r="E28" s="16" t="s">
        <v>73</v>
      </c>
      <c r="F28" s="115" t="s">
        <v>74</v>
      </c>
      <c r="G28" s="116"/>
      <c r="H28" s="117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5" customFormat="1" ht="46.75" customHeight="1" x14ac:dyDescent="0.2">
      <c r="A29" s="14">
        <v>2</v>
      </c>
      <c r="B29" s="15" t="s">
        <v>75</v>
      </c>
      <c r="C29" s="14" t="s">
        <v>72</v>
      </c>
      <c r="D29" s="14" t="s">
        <v>72</v>
      </c>
      <c r="E29" s="16" t="s">
        <v>73</v>
      </c>
      <c r="F29" s="118" t="s">
        <v>76</v>
      </c>
      <c r="G29" s="119"/>
      <c r="H29" s="120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38" customHeight="1" x14ac:dyDescent="0.2">
      <c r="A30" s="14">
        <v>3</v>
      </c>
      <c r="B30" s="15" t="s">
        <v>77</v>
      </c>
      <c r="C30" s="14" t="s">
        <v>72</v>
      </c>
      <c r="D30" s="14" t="s">
        <v>72</v>
      </c>
      <c r="E30" s="16" t="s">
        <v>73</v>
      </c>
      <c r="F30" s="38">
        <v>12500</v>
      </c>
      <c r="G30" s="38">
        <v>11000</v>
      </c>
      <c r="H30" s="39">
        <f>G30/F30</f>
        <v>0.88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3" customFormat="1" ht="24" customHeight="1" x14ac:dyDescent="0.2">
      <c r="A31" s="112" t="s">
        <v>126</v>
      </c>
      <c r="B31" s="113"/>
      <c r="C31" s="113"/>
      <c r="D31" s="113"/>
      <c r="E31" s="113"/>
      <c r="F31" s="113"/>
      <c r="G31" s="113"/>
      <c r="H31" s="114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</row>
    <row r="32" spans="1:19" s="5" customFormat="1" ht="38" customHeight="1" x14ac:dyDescent="0.2">
      <c r="A32" s="14">
        <v>1</v>
      </c>
      <c r="B32" s="15" t="s">
        <v>78</v>
      </c>
      <c r="C32" s="14" t="s">
        <v>72</v>
      </c>
      <c r="D32" s="14" t="s">
        <v>72</v>
      </c>
      <c r="E32" s="16" t="s">
        <v>73</v>
      </c>
      <c r="F32" s="118" t="s">
        <v>76</v>
      </c>
      <c r="G32" s="119"/>
      <c r="H32" s="120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8" customHeight="1" x14ac:dyDescent="0.2">
      <c r="A33" s="14">
        <v>2</v>
      </c>
      <c r="B33" s="15" t="s">
        <v>79</v>
      </c>
      <c r="C33" s="14" t="s">
        <v>72</v>
      </c>
      <c r="D33" s="14" t="s">
        <v>72</v>
      </c>
      <c r="E33" s="16" t="s">
        <v>73</v>
      </c>
      <c r="F33" s="118" t="s">
        <v>76</v>
      </c>
      <c r="G33" s="119"/>
      <c r="H33" s="120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" customFormat="1" ht="24" customHeight="1" x14ac:dyDescent="0.2">
      <c r="A34" s="112" t="s">
        <v>127</v>
      </c>
      <c r="B34" s="113"/>
      <c r="C34" s="113"/>
      <c r="D34" s="113"/>
      <c r="E34" s="113"/>
      <c r="F34" s="113"/>
      <c r="G34" s="113"/>
      <c r="H34" s="114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38" customHeight="1" x14ac:dyDescent="0.2">
      <c r="A35" s="14">
        <v>1</v>
      </c>
      <c r="B35" s="15" t="s">
        <v>80</v>
      </c>
      <c r="C35" s="14" t="s">
        <v>81</v>
      </c>
      <c r="D35" s="14" t="s">
        <v>81</v>
      </c>
      <c r="E35" s="16" t="s">
        <v>73</v>
      </c>
      <c r="F35" s="118" t="s">
        <v>76</v>
      </c>
      <c r="G35" s="119"/>
      <c r="H35" s="120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46.75" customHeight="1" x14ac:dyDescent="0.2">
      <c r="A36" s="14">
        <v>2</v>
      </c>
      <c r="B36" s="15" t="s">
        <v>82</v>
      </c>
      <c r="C36" s="14" t="s">
        <v>81</v>
      </c>
      <c r="D36" s="14" t="s">
        <v>81</v>
      </c>
      <c r="E36" s="16" t="s">
        <v>73</v>
      </c>
      <c r="F36" s="118" t="s">
        <v>76</v>
      </c>
      <c r="G36" s="119"/>
      <c r="H36" s="120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12" t="s">
        <v>128</v>
      </c>
      <c r="B37" s="113"/>
      <c r="C37" s="113"/>
      <c r="D37" s="113"/>
      <c r="E37" s="113"/>
      <c r="F37" s="113"/>
      <c r="G37" s="113"/>
      <c r="H37" s="114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46.75" customHeight="1" x14ac:dyDescent="0.2">
      <c r="A38" s="14">
        <v>1</v>
      </c>
      <c r="B38" s="15" t="s">
        <v>83</v>
      </c>
      <c r="C38" s="14" t="s">
        <v>84</v>
      </c>
      <c r="D38" s="14" t="s">
        <v>84</v>
      </c>
      <c r="E38" s="16" t="s">
        <v>73</v>
      </c>
      <c r="F38" s="118" t="s">
        <v>76</v>
      </c>
      <c r="G38" s="119"/>
      <c r="H38" s="120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8" customHeight="1" x14ac:dyDescent="0.2">
      <c r="A39" s="14">
        <v>2</v>
      </c>
      <c r="B39" s="15" t="s">
        <v>85</v>
      </c>
      <c r="C39" s="14" t="s">
        <v>84</v>
      </c>
      <c r="D39" s="14" t="s">
        <v>84</v>
      </c>
      <c r="E39" s="16" t="s">
        <v>73</v>
      </c>
      <c r="F39" s="118" t="s">
        <v>76</v>
      </c>
      <c r="G39" s="119"/>
      <c r="H39" s="120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3" customFormat="1" ht="24" customHeight="1" x14ac:dyDescent="0.2">
      <c r="A40" s="112" t="s">
        <v>129</v>
      </c>
      <c r="B40" s="113"/>
      <c r="C40" s="113"/>
      <c r="D40" s="113"/>
      <c r="E40" s="113"/>
      <c r="F40" s="113"/>
      <c r="G40" s="113"/>
      <c r="H40" s="114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</row>
    <row r="41" spans="1:19" s="5" customFormat="1" ht="38" customHeight="1" x14ac:dyDescent="0.2">
      <c r="A41" s="14">
        <v>1</v>
      </c>
      <c r="B41" s="15" t="s">
        <v>86</v>
      </c>
      <c r="C41" s="14" t="s">
        <v>87</v>
      </c>
      <c r="D41" s="14" t="s">
        <v>87</v>
      </c>
      <c r="E41" s="16" t="s">
        <v>73</v>
      </c>
      <c r="F41" s="118" t="s">
        <v>76</v>
      </c>
      <c r="G41" s="119"/>
      <c r="H41" s="120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38" customHeight="1" x14ac:dyDescent="0.2">
      <c r="A42" s="14">
        <v>2</v>
      </c>
      <c r="B42" s="15" t="s">
        <v>88</v>
      </c>
      <c r="C42" s="14" t="s">
        <v>87</v>
      </c>
      <c r="D42" s="73" t="s">
        <v>91</v>
      </c>
      <c r="E42" s="20" t="s">
        <v>89</v>
      </c>
      <c r="F42" s="118" t="s">
        <v>76</v>
      </c>
      <c r="G42" s="119"/>
      <c r="H42" s="120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3" customFormat="1" ht="24" customHeight="1" x14ac:dyDescent="0.2">
      <c r="A43" s="112" t="s">
        <v>130</v>
      </c>
      <c r="B43" s="113"/>
      <c r="C43" s="113"/>
      <c r="D43" s="113"/>
      <c r="E43" s="113"/>
      <c r="F43" s="113"/>
      <c r="G43" s="113"/>
      <c r="H43" s="114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spans="1:19" s="5" customFormat="1" ht="38" customHeight="1" x14ac:dyDescent="0.2">
      <c r="A44" s="14">
        <v>1</v>
      </c>
      <c r="B44" s="15" t="s">
        <v>90</v>
      </c>
      <c r="C44" s="14" t="s">
        <v>91</v>
      </c>
      <c r="D44" s="14" t="s">
        <v>91</v>
      </c>
      <c r="E44" s="20" t="s">
        <v>89</v>
      </c>
      <c r="F44" s="118" t="s">
        <v>76</v>
      </c>
      <c r="G44" s="119"/>
      <c r="H44" s="120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8" customHeight="1" x14ac:dyDescent="0.2">
      <c r="A45" s="14">
        <v>2</v>
      </c>
      <c r="B45" s="15" t="s">
        <v>92</v>
      </c>
      <c r="C45" s="14" t="s">
        <v>91</v>
      </c>
      <c r="D45" s="14" t="s">
        <v>91</v>
      </c>
      <c r="E45" s="20" t="s">
        <v>89</v>
      </c>
      <c r="F45" s="118" t="s">
        <v>76</v>
      </c>
      <c r="G45" s="119"/>
      <c r="H45" s="120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2" customHeight="1" x14ac:dyDescent="0.2">
      <c r="A46" s="29"/>
      <c r="B46" s="30"/>
      <c r="C46" s="29"/>
      <c r="D46" s="29"/>
      <c r="E46" s="74"/>
      <c r="F46" s="75"/>
      <c r="G46" s="75"/>
      <c r="H46" s="7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 ht="20" customHeight="1" x14ac:dyDescent="0.2">
      <c r="A47" s="103" t="s">
        <v>0</v>
      </c>
      <c r="B47" s="104"/>
      <c r="C47" s="104"/>
      <c r="D47" s="104"/>
      <c r="E47" s="104"/>
      <c r="F47" s="104"/>
      <c r="G47" s="104"/>
      <c r="H47" s="10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spans="1:19" s="1" customFormat="1" ht="20" customHeight="1" x14ac:dyDescent="0.2">
      <c r="A48" s="105" t="s">
        <v>60</v>
      </c>
      <c r="B48" s="106"/>
      <c r="C48" s="106"/>
      <c r="D48" s="106"/>
      <c r="E48" s="106"/>
      <c r="F48" s="106"/>
      <c r="G48" s="106"/>
      <c r="H48" s="10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spans="1:19" s="1" customFormat="1" ht="20" customHeight="1" x14ac:dyDescent="0.2">
      <c r="A49" s="107" t="s">
        <v>123</v>
      </c>
      <c r="B49" s="108"/>
      <c r="C49" s="108"/>
      <c r="D49" s="108"/>
      <c r="E49" s="108"/>
      <c r="F49" s="108"/>
      <c r="G49" s="108"/>
      <c r="H49" s="108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spans="1:19" ht="8" customHeight="1" x14ac:dyDescent="0.2">
      <c r="A50" s="109"/>
      <c r="B50" s="109"/>
      <c r="C50" s="109"/>
      <c r="D50" s="109"/>
      <c r="E50" s="109"/>
      <c r="F50" s="109"/>
      <c r="G50" s="109"/>
      <c r="H50" s="109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2" customFormat="1" ht="20" customHeight="1" x14ac:dyDescent="0.2">
      <c r="A51" s="110" t="s">
        <v>93</v>
      </c>
      <c r="B51" s="111"/>
      <c r="C51" s="111"/>
      <c r="D51" s="111"/>
      <c r="E51" s="111"/>
      <c r="F51" s="111"/>
      <c r="G51" s="111"/>
      <c r="H51" s="111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 s="2" customFormat="1" ht="20" customHeight="1" x14ac:dyDescent="0.2">
      <c r="A52" s="102" t="s">
        <v>94</v>
      </c>
      <c r="B52" s="102"/>
      <c r="C52" s="102"/>
      <c r="D52" s="102"/>
      <c r="E52" s="102"/>
      <c r="F52" s="102"/>
      <c r="G52" s="102"/>
      <c r="H52" s="102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 s="2" customFormat="1" ht="6" customHeight="1" x14ac:dyDescent="0.2">
      <c r="A53" s="8"/>
      <c r="B53" s="9"/>
      <c r="C53" s="9"/>
      <c r="D53" s="9"/>
      <c r="E53" s="9"/>
      <c r="F53" s="9"/>
      <c r="G53" s="9"/>
      <c r="H53" s="9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 s="3" customFormat="1" ht="24" customHeight="1" x14ac:dyDescent="0.2">
      <c r="A54" s="11" t="s">
        <v>64</v>
      </c>
      <c r="B54" s="12" t="s">
        <v>65</v>
      </c>
      <c r="C54" s="11" t="s">
        <v>95</v>
      </c>
      <c r="D54" s="12" t="s">
        <v>96</v>
      </c>
      <c r="E54" s="11" t="s">
        <v>97</v>
      </c>
      <c r="F54" s="11" t="s">
        <v>98</v>
      </c>
      <c r="G54" s="12" t="s">
        <v>99</v>
      </c>
      <c r="H54" s="11" t="s">
        <v>100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</row>
    <row r="55" spans="1:19" s="3" customFormat="1" ht="24" customHeight="1" x14ac:dyDescent="0.2">
      <c r="A55" s="112" t="s">
        <v>125</v>
      </c>
      <c r="B55" s="113"/>
      <c r="C55" s="113"/>
      <c r="D55" s="113"/>
      <c r="E55" s="113"/>
      <c r="F55" s="113"/>
      <c r="G55" s="113"/>
      <c r="H55" s="114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</row>
    <row r="56" spans="1:19" s="5" customFormat="1" ht="19" customHeight="1" x14ac:dyDescent="0.2">
      <c r="A56" s="14">
        <v>1</v>
      </c>
      <c r="B56" s="15" t="s">
        <v>71</v>
      </c>
      <c r="C56" s="20" t="s">
        <v>101</v>
      </c>
      <c r="D56" s="20" t="s">
        <v>101</v>
      </c>
      <c r="E56" s="14" t="s">
        <v>101</v>
      </c>
      <c r="F56" s="16" t="s">
        <v>102</v>
      </c>
      <c r="G56" s="16" t="s">
        <v>102</v>
      </c>
      <c r="H56" s="14" t="s">
        <v>101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1:19" s="5" customFormat="1" ht="46.75" customHeight="1" x14ac:dyDescent="0.2">
      <c r="A57" s="14">
        <v>2</v>
      </c>
      <c r="B57" s="15" t="s">
        <v>75</v>
      </c>
      <c r="C57" s="16" t="s">
        <v>102</v>
      </c>
      <c r="D57" s="20" t="s">
        <v>101</v>
      </c>
      <c r="E57" s="14" t="s">
        <v>101</v>
      </c>
      <c r="F57" s="16" t="s">
        <v>102</v>
      </c>
      <c r="G57" s="16" t="s">
        <v>102</v>
      </c>
      <c r="H57" s="14" t="s">
        <v>101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5" customHeight="1" x14ac:dyDescent="0.2">
      <c r="A58" s="14">
        <v>3</v>
      </c>
      <c r="B58" s="15" t="s">
        <v>77</v>
      </c>
      <c r="C58" s="16" t="s">
        <v>102</v>
      </c>
      <c r="D58" s="20" t="s">
        <v>101</v>
      </c>
      <c r="E58" s="14" t="s">
        <v>101</v>
      </c>
      <c r="F58" s="16" t="s">
        <v>102</v>
      </c>
      <c r="G58" s="16" t="s">
        <v>102</v>
      </c>
      <c r="H58" s="14" t="s">
        <v>101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3" customFormat="1" ht="24" customHeight="1" x14ac:dyDescent="0.2">
      <c r="A59" s="112" t="s">
        <v>126</v>
      </c>
      <c r="B59" s="113"/>
      <c r="C59" s="113"/>
      <c r="D59" s="113"/>
      <c r="E59" s="113"/>
      <c r="F59" s="113"/>
      <c r="G59" s="113"/>
      <c r="H59" s="114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spans="1:19" s="5" customFormat="1" ht="35" customHeight="1" x14ac:dyDescent="0.2">
      <c r="A60" s="14">
        <v>1</v>
      </c>
      <c r="B60" s="15" t="s">
        <v>78</v>
      </c>
      <c r="C60" s="16" t="s">
        <v>102</v>
      </c>
      <c r="D60" s="16" t="s">
        <v>102</v>
      </c>
      <c r="E60" s="14" t="s">
        <v>101</v>
      </c>
      <c r="F60" s="16" t="s">
        <v>102</v>
      </c>
      <c r="G60" s="16" t="s">
        <v>102</v>
      </c>
      <c r="H60" s="14" t="s">
        <v>101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5" customFormat="1" ht="35" customHeight="1" x14ac:dyDescent="0.2">
      <c r="A61" s="14">
        <v>2</v>
      </c>
      <c r="B61" s="15" t="s">
        <v>79</v>
      </c>
      <c r="C61" s="16" t="s">
        <v>102</v>
      </c>
      <c r="D61" s="16" t="s">
        <v>102</v>
      </c>
      <c r="E61" s="14" t="s">
        <v>101</v>
      </c>
      <c r="F61" s="16" t="s">
        <v>102</v>
      </c>
      <c r="G61" s="16" t="s">
        <v>102</v>
      </c>
      <c r="H61" s="14" t="s">
        <v>101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</row>
    <row r="62" spans="1:19" s="3" customFormat="1" ht="24" customHeight="1" x14ac:dyDescent="0.2">
      <c r="A62" s="112" t="s">
        <v>127</v>
      </c>
      <c r="B62" s="113"/>
      <c r="C62" s="113"/>
      <c r="D62" s="113"/>
      <c r="E62" s="113"/>
      <c r="F62" s="113"/>
      <c r="G62" s="113"/>
      <c r="H62" s="114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5" customFormat="1" ht="35" customHeight="1" x14ac:dyDescent="0.2">
      <c r="A63" s="14">
        <v>1</v>
      </c>
      <c r="B63" s="15" t="s">
        <v>80</v>
      </c>
      <c r="C63" s="16" t="s">
        <v>102</v>
      </c>
      <c r="D63" s="16" t="s">
        <v>102</v>
      </c>
      <c r="E63" s="14" t="s">
        <v>101</v>
      </c>
      <c r="F63" s="16" t="s">
        <v>102</v>
      </c>
      <c r="G63" s="16" t="s">
        <v>102</v>
      </c>
      <c r="H63" s="14" t="s">
        <v>101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46.75" customHeight="1" x14ac:dyDescent="0.2">
      <c r="A64" s="14">
        <v>2</v>
      </c>
      <c r="B64" s="15" t="s">
        <v>82</v>
      </c>
      <c r="C64" s="16" t="s">
        <v>102</v>
      </c>
      <c r="D64" s="16" t="s">
        <v>102</v>
      </c>
      <c r="E64" s="14" t="s">
        <v>101</v>
      </c>
      <c r="F64" s="16" t="s">
        <v>102</v>
      </c>
      <c r="G64" s="16" t="s">
        <v>102</v>
      </c>
      <c r="H64" s="14" t="s">
        <v>101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3" customFormat="1" ht="24" customHeight="1" x14ac:dyDescent="0.2">
      <c r="A65" s="112" t="s">
        <v>128</v>
      </c>
      <c r="B65" s="113"/>
      <c r="C65" s="113"/>
      <c r="D65" s="113"/>
      <c r="E65" s="113"/>
      <c r="F65" s="113"/>
      <c r="G65" s="113"/>
      <c r="H65" s="114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5" customFormat="1" ht="35" customHeight="1" x14ac:dyDescent="0.2">
      <c r="A66" s="14">
        <v>1</v>
      </c>
      <c r="B66" s="15" t="s">
        <v>83</v>
      </c>
      <c r="C66" s="16" t="s">
        <v>102</v>
      </c>
      <c r="D66" s="16" t="s">
        <v>102</v>
      </c>
      <c r="E66" s="14" t="s">
        <v>101</v>
      </c>
      <c r="F66" s="16" t="s">
        <v>102</v>
      </c>
      <c r="G66" s="16" t="s">
        <v>102</v>
      </c>
      <c r="H66" s="14" t="s">
        <v>101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5" customHeight="1" x14ac:dyDescent="0.2">
      <c r="A67" s="14">
        <v>2</v>
      </c>
      <c r="B67" s="15" t="s">
        <v>85</v>
      </c>
      <c r="C67" s="16" t="s">
        <v>102</v>
      </c>
      <c r="D67" s="16" t="s">
        <v>102</v>
      </c>
      <c r="E67" s="14" t="s">
        <v>101</v>
      </c>
      <c r="F67" s="16" t="s">
        <v>102</v>
      </c>
      <c r="G67" s="16" t="s">
        <v>102</v>
      </c>
      <c r="H67" s="14" t="s">
        <v>101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3" customFormat="1" ht="24" customHeight="1" x14ac:dyDescent="0.2">
      <c r="A68" s="112" t="s">
        <v>129</v>
      </c>
      <c r="B68" s="113"/>
      <c r="C68" s="113"/>
      <c r="D68" s="113"/>
      <c r="E68" s="113"/>
      <c r="F68" s="113"/>
      <c r="G68" s="113"/>
      <c r="H68" s="114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s="5" customFormat="1" ht="35" customHeight="1" x14ac:dyDescent="0.2">
      <c r="A69" s="14">
        <v>1</v>
      </c>
      <c r="B69" s="15" t="s">
        <v>86</v>
      </c>
      <c r="C69" s="16" t="s">
        <v>102</v>
      </c>
      <c r="D69" s="16" t="s">
        <v>102</v>
      </c>
      <c r="E69" s="14" t="s">
        <v>103</v>
      </c>
      <c r="F69" s="14" t="s">
        <v>103</v>
      </c>
      <c r="G69" s="14" t="s">
        <v>103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5" customHeight="1" x14ac:dyDescent="0.2">
      <c r="A70" s="14">
        <v>2</v>
      </c>
      <c r="B70" s="15" t="s">
        <v>88</v>
      </c>
      <c r="C70" s="14" t="s">
        <v>103</v>
      </c>
      <c r="D70" s="14" t="s">
        <v>103</v>
      </c>
      <c r="E70" s="14" t="s">
        <v>103</v>
      </c>
      <c r="F70" s="14" t="s">
        <v>103</v>
      </c>
      <c r="G70" s="14" t="s">
        <v>103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12" t="s">
        <v>130</v>
      </c>
      <c r="B71" s="113"/>
      <c r="C71" s="113"/>
      <c r="D71" s="113"/>
      <c r="E71" s="113"/>
      <c r="F71" s="113"/>
      <c r="G71" s="113"/>
      <c r="H71" s="114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35" customHeight="1" x14ac:dyDescent="0.2">
      <c r="A72" s="14">
        <v>1</v>
      </c>
      <c r="B72" s="15" t="s">
        <v>90</v>
      </c>
      <c r="C72" s="14" t="s">
        <v>103</v>
      </c>
      <c r="D72" s="14" t="s">
        <v>103</v>
      </c>
      <c r="E72" s="14" t="s">
        <v>103</v>
      </c>
      <c r="F72" s="14" t="s">
        <v>103</v>
      </c>
      <c r="G72" s="14" t="s">
        <v>103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5" customHeight="1" x14ac:dyDescent="0.2">
      <c r="A73" s="14">
        <v>2</v>
      </c>
      <c r="B73" s="15" t="s">
        <v>92</v>
      </c>
      <c r="C73" s="14" t="s">
        <v>103</v>
      </c>
      <c r="D73" s="14" t="s">
        <v>103</v>
      </c>
      <c r="E73" s="14" t="s">
        <v>103</v>
      </c>
      <c r="F73" s="14" t="s">
        <v>103</v>
      </c>
      <c r="G73" s="14" t="s">
        <v>103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32" t="s">
        <v>104</v>
      </c>
      <c r="B75" s="6"/>
      <c r="C75" s="6"/>
      <c r="D75" s="32" t="s">
        <v>105</v>
      </c>
      <c r="E75" s="6"/>
      <c r="F75" s="10" t="s">
        <v>106</v>
      </c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/>
      <c r="B76" s="6"/>
      <c r="C76" s="6"/>
      <c r="D76" s="32"/>
      <c r="E76" s="6"/>
      <c r="F76" s="33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0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13" t="s">
        <v>107</v>
      </c>
      <c r="B78" s="6"/>
      <c r="C78" s="6"/>
      <c r="D78" s="13" t="s">
        <v>108</v>
      </c>
      <c r="E78" s="6"/>
      <c r="F78" s="13" t="s">
        <v>109</v>
      </c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32" t="s">
        <v>110</v>
      </c>
      <c r="B79" s="6"/>
      <c r="C79" s="6"/>
      <c r="D79" s="32" t="s">
        <v>111</v>
      </c>
      <c r="E79" s="6"/>
      <c r="F79" s="32" t="s">
        <v>112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" customHeight="1" x14ac:dyDescent="0.2">
      <c r="A790" s="7"/>
      <c r="B790" s="7"/>
      <c r="C790" s="7"/>
      <c r="D790" s="7"/>
      <c r="E790" s="7"/>
      <c r="F790" s="31"/>
      <c r="G790" s="31"/>
      <c r="H790" s="7"/>
    </row>
  </sheetData>
  <mergeCells count="42">
    <mergeCell ref="A68:H68"/>
    <mergeCell ref="A71:H71"/>
    <mergeCell ref="A52:H52"/>
    <mergeCell ref="A55:H55"/>
    <mergeCell ref="A59:H59"/>
    <mergeCell ref="A62:H62"/>
    <mergeCell ref="A65:H65"/>
    <mergeCell ref="A47:H47"/>
    <mergeCell ref="A48:H48"/>
    <mergeCell ref="A49:H49"/>
    <mergeCell ref="A50:H50"/>
    <mergeCell ref="A51:H51"/>
    <mergeCell ref="F41:H41"/>
    <mergeCell ref="F42:H42"/>
    <mergeCell ref="A43:H43"/>
    <mergeCell ref="F44:H44"/>
    <mergeCell ref="F45:H45"/>
    <mergeCell ref="F36:H36"/>
    <mergeCell ref="A37:H37"/>
    <mergeCell ref="F38:H38"/>
    <mergeCell ref="F39:H39"/>
    <mergeCell ref="A40:H40"/>
    <mergeCell ref="A31:H31"/>
    <mergeCell ref="F32:H32"/>
    <mergeCell ref="F33:H33"/>
    <mergeCell ref="A34:H34"/>
    <mergeCell ref="F35:H35"/>
    <mergeCell ref="A23:H23"/>
    <mergeCell ref="A24:H24"/>
    <mergeCell ref="A27:H27"/>
    <mergeCell ref="F28:H28"/>
    <mergeCell ref="F29:H29"/>
    <mergeCell ref="A6:H6"/>
    <mergeCell ref="A19:H19"/>
    <mergeCell ref="A20:H20"/>
    <mergeCell ref="A21:H21"/>
    <mergeCell ref="A22:H22"/>
    <mergeCell ref="A1:H1"/>
    <mergeCell ref="A2:H2"/>
    <mergeCell ref="A3:H3"/>
    <mergeCell ref="A4:H4"/>
    <mergeCell ref="A5:H5"/>
  </mergeCells>
  <dataValidations count="4">
    <dataValidation type="list" allowBlank="1" showInputMessage="1" showErrorMessage="1" sqref="C69:D69 C60:D61 C66:D67 C72:D73 C56:D58 C63:D64" xr:uid="{00000000-0002-0000-0100-000000000000}">
      <formula1>"Submitted,Pending,Not Yet Due,Overdue,N/A"</formula1>
    </dataValidation>
    <dataValidation type="list" allowBlank="1" showInputMessage="1" showErrorMessage="1" sqref="E69:H69 C70:H70 E56:H58 E60:H61 E66:H67 E72:H73 E63:H64" xr:uid="{00000000-0002-0000-0100-000001000000}">
      <formula1>"Submitted,Pending,Not Yet Due,N/A"</formula1>
    </dataValidation>
    <dataValidation type="list" allowBlank="1" showInputMessage="1" showErrorMessage="1" sqref="E28:E30 E32:E33 E35:E36 E38:E39 E41:E42 E44:E46" xr:uid="{00000000-0002-0000-0100-000002000000}">
      <formula1>"Implemented, Ongoing, For Implementation, Rescheduled, Deferred, Cancelled"</formula1>
    </dataValidation>
    <dataValidation type="list" allowBlank="1" showInputMessage="1" showErrorMessage="1" sqref="G9:G17" xr:uid="{00000000-0002-0000-0100-000003000000}">
      <formula1>"MET, Partially MET,UNMET,Not Yet Due, Overdue"</formula1>
    </dataValidation>
  </dataValidations>
  <printOptions horizontalCentered="1"/>
  <pageMargins left="0.25" right="0.31733333333333302" top="0.4" bottom="0.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807"/>
  <sheetViews>
    <sheetView showGridLines="0" view="pageBreakPreview" topLeftCell="A28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2" spans="1:19" s="1" customFormat="1" ht="20" customHeight="1" x14ac:dyDescent="0.2">
      <c r="A2" s="103" t="s">
        <v>0</v>
      </c>
      <c r="B2" s="104"/>
      <c r="C2" s="104"/>
      <c r="D2" s="104"/>
      <c r="E2" s="104"/>
      <c r="F2" s="104"/>
      <c r="G2" s="104"/>
      <c r="H2" s="10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5" t="s">
        <v>60</v>
      </c>
      <c r="B3" s="106"/>
      <c r="C3" s="106"/>
      <c r="D3" s="106"/>
      <c r="E3" s="106"/>
      <c r="F3" s="106"/>
      <c r="G3" s="106"/>
      <c r="H3" s="10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16" customHeight="1" x14ac:dyDescent="0.2">
      <c r="A4" s="107" t="s">
        <v>131</v>
      </c>
      <c r="B4" s="108"/>
      <c r="C4" s="108"/>
      <c r="D4" s="108"/>
      <c r="E4" s="108"/>
      <c r="F4" s="108"/>
      <c r="G4" s="108"/>
      <c r="H4" s="108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" customHeight="1" x14ac:dyDescent="0.2">
      <c r="A5" s="109"/>
      <c r="B5" s="109"/>
      <c r="C5" s="109"/>
      <c r="D5" s="109"/>
      <c r="E5" s="109"/>
      <c r="F5" s="109"/>
      <c r="G5" s="109"/>
      <c r="H5" s="109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10" t="s">
        <v>2</v>
      </c>
      <c r="B6" s="111"/>
      <c r="C6" s="111"/>
      <c r="D6" s="111"/>
      <c r="E6" s="111"/>
      <c r="F6" s="111"/>
      <c r="G6" s="111"/>
      <c r="H6" s="1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2" t="s">
        <v>3</v>
      </c>
      <c r="B7" s="102"/>
      <c r="C7" s="102"/>
      <c r="D7" s="102"/>
      <c r="E7" s="102"/>
      <c r="F7" s="102"/>
      <c r="G7" s="102"/>
      <c r="H7" s="102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7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 t="shared" ref="F10:F16" si="0">E10-D10</f>
        <v>0</v>
      </c>
      <c r="G10" s="16" t="s">
        <v>15</v>
      </c>
      <c r="H10" s="15" t="s">
        <v>132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54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 t="shared" si="0"/>
        <v>0</v>
      </c>
      <c r="G11" s="16" t="s">
        <v>15</v>
      </c>
      <c r="H11" s="15" t="s">
        <v>133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78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475</v>
      </c>
      <c r="F12" s="34">
        <f t="shared" si="0"/>
        <v>366</v>
      </c>
      <c r="G12" s="16" t="s">
        <v>15</v>
      </c>
      <c r="H12" s="15" t="s">
        <v>134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 t="shared" si="0"/>
        <v>3.0000000000000027E-2</v>
      </c>
      <c r="G13" s="16" t="s">
        <v>15</v>
      </c>
      <c r="H13" s="15" t="s">
        <v>135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36">
        <f t="shared" si="0"/>
        <v>-1</v>
      </c>
      <c r="G14" s="19" t="s">
        <v>20</v>
      </c>
      <c r="H14" s="15" t="s">
        <v>136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9" customHeight="1" x14ac:dyDescent="0.2">
      <c r="A15" s="14" t="s">
        <v>53</v>
      </c>
      <c r="B15" s="15" t="s">
        <v>54</v>
      </c>
      <c r="C15" s="14" t="s">
        <v>51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34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21">
        <v>0.91</v>
      </c>
      <c r="F16" s="35">
        <f t="shared" si="0"/>
        <v>0.21000000000000008</v>
      </c>
      <c r="G16" s="16" t="s">
        <v>15</v>
      </c>
      <c r="H16" s="15" t="s">
        <v>122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20" spans="1:19" s="1" customFormat="1" ht="20" customHeight="1" x14ac:dyDescent="0.2">
      <c r="A20" s="103" t="s">
        <v>0</v>
      </c>
      <c r="B20" s="104"/>
      <c r="C20" s="104"/>
      <c r="D20" s="104"/>
      <c r="E20" s="104"/>
      <c r="F20" s="104"/>
      <c r="G20" s="104"/>
      <c r="H20" s="104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5" t="s">
        <v>60</v>
      </c>
      <c r="B21" s="106"/>
      <c r="C21" s="106"/>
      <c r="D21" s="106"/>
      <c r="E21" s="106"/>
      <c r="F21" s="106"/>
      <c r="G21" s="106"/>
      <c r="H21" s="10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s="1" customFormat="1" ht="40" customHeight="1" x14ac:dyDescent="0.2">
      <c r="A22" s="109" t="s">
        <v>138</v>
      </c>
      <c r="B22" s="108"/>
      <c r="C22" s="108"/>
      <c r="D22" s="108"/>
      <c r="E22" s="108"/>
      <c r="F22" s="108"/>
      <c r="G22" s="108"/>
      <c r="H22" s="108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ht="17" x14ac:dyDescent="0.2">
      <c r="A23" s="109"/>
      <c r="B23" s="109"/>
      <c r="C23" s="109"/>
      <c r="D23" s="109"/>
      <c r="E23" s="109"/>
      <c r="F23" s="109"/>
      <c r="G23" s="109"/>
      <c r="H23" s="109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2" customFormat="1" ht="20" customHeight="1" x14ac:dyDescent="0.2">
      <c r="A24" s="110" t="s">
        <v>62</v>
      </c>
      <c r="B24" s="111"/>
      <c r="C24" s="111"/>
      <c r="D24" s="111"/>
      <c r="E24" s="111"/>
      <c r="F24" s="111"/>
      <c r="G24" s="111"/>
      <c r="H24" s="11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102" t="s">
        <v>63</v>
      </c>
      <c r="B25" s="102"/>
      <c r="C25" s="102"/>
      <c r="D25" s="102"/>
      <c r="E25" s="102"/>
      <c r="F25" s="102"/>
      <c r="G25" s="102"/>
      <c r="H25" s="102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2" customFormat="1" ht="20" customHeight="1" x14ac:dyDescent="0.2">
      <c r="A26" s="8"/>
      <c r="B26" s="9"/>
      <c r="C26" s="9"/>
      <c r="D26" s="9"/>
      <c r="E26" s="9"/>
      <c r="F26" s="9"/>
      <c r="G26" s="9"/>
      <c r="H26" s="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3" customFormat="1" ht="24" customHeight="1" x14ac:dyDescent="0.2">
      <c r="A27" s="11" t="s">
        <v>64</v>
      </c>
      <c r="B27" s="12" t="s">
        <v>65</v>
      </c>
      <c r="C27" s="11" t="s">
        <v>66</v>
      </c>
      <c r="D27" s="12" t="s">
        <v>67</v>
      </c>
      <c r="E27" s="11" t="s">
        <v>68</v>
      </c>
      <c r="F27" s="11" t="s">
        <v>69</v>
      </c>
      <c r="G27" s="12" t="s">
        <v>70</v>
      </c>
      <c r="H27" s="11" t="s">
        <v>57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3" customFormat="1" ht="24" customHeight="1" x14ac:dyDescent="0.2">
      <c r="A28" s="112" t="s">
        <v>139</v>
      </c>
      <c r="B28" s="113"/>
      <c r="C28" s="113"/>
      <c r="D28" s="113"/>
      <c r="E28" s="113"/>
      <c r="F28" s="113"/>
      <c r="G28" s="113"/>
      <c r="H28" s="114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</row>
    <row r="29" spans="1:19" s="5" customFormat="1" ht="50" customHeight="1" x14ac:dyDescent="0.2">
      <c r="A29" s="14">
        <v>1</v>
      </c>
      <c r="B29" s="15" t="s">
        <v>140</v>
      </c>
      <c r="C29" s="14" t="s">
        <v>141</v>
      </c>
      <c r="D29" s="14" t="s">
        <v>141</v>
      </c>
      <c r="E29" s="16" t="s">
        <v>73</v>
      </c>
      <c r="F29" s="121" t="s">
        <v>142</v>
      </c>
      <c r="G29" s="122"/>
      <c r="H29" s="123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70" customHeight="1" x14ac:dyDescent="0.2">
      <c r="A30" s="14">
        <v>2</v>
      </c>
      <c r="B30" s="15" t="s">
        <v>143</v>
      </c>
      <c r="C30" s="14" t="s">
        <v>141</v>
      </c>
      <c r="D30" s="14" t="s">
        <v>141</v>
      </c>
      <c r="E30" s="16" t="s">
        <v>73</v>
      </c>
      <c r="F30" s="38">
        <v>11600</v>
      </c>
      <c r="G30" s="38">
        <v>10800</v>
      </c>
      <c r="H30" s="39">
        <f>G30/F30</f>
        <v>0.93103448275862066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5" customFormat="1" ht="50" customHeight="1" x14ac:dyDescent="0.2">
      <c r="A31" s="14">
        <v>3</v>
      </c>
      <c r="B31" s="15" t="s">
        <v>144</v>
      </c>
      <c r="C31" s="14" t="s">
        <v>141</v>
      </c>
      <c r="D31" s="14" t="s">
        <v>141</v>
      </c>
      <c r="E31" s="16" t="s">
        <v>73</v>
      </c>
      <c r="F31" s="38">
        <v>10800</v>
      </c>
      <c r="G31" s="38">
        <v>10800</v>
      </c>
      <c r="H31" s="39">
        <f t="shared" ref="H31:H32" si="1">G31/F31</f>
        <v>1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50" customHeight="1" x14ac:dyDescent="0.2">
      <c r="A32" s="14">
        <v>4</v>
      </c>
      <c r="B32" s="15" t="s">
        <v>145</v>
      </c>
      <c r="C32" s="14" t="s">
        <v>141</v>
      </c>
      <c r="D32" s="14" t="s">
        <v>141</v>
      </c>
      <c r="E32" s="16" t="s">
        <v>73</v>
      </c>
      <c r="F32" s="38">
        <v>11600</v>
      </c>
      <c r="G32" s="38">
        <v>10800</v>
      </c>
      <c r="H32" s="39">
        <f t="shared" si="1"/>
        <v>0.93103448275862066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3" customFormat="1" ht="24" customHeight="1" x14ac:dyDescent="0.2">
      <c r="A33" s="112" t="s">
        <v>146</v>
      </c>
      <c r="B33" s="113"/>
      <c r="C33" s="113"/>
      <c r="D33" s="113"/>
      <c r="E33" s="113"/>
      <c r="F33" s="113"/>
      <c r="G33" s="113"/>
      <c r="H33" s="114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5" customFormat="1" ht="50" customHeight="1" x14ac:dyDescent="0.2">
      <c r="A34" s="14">
        <v>1</v>
      </c>
      <c r="B34" s="15" t="s">
        <v>147</v>
      </c>
      <c r="C34" s="14" t="s">
        <v>141</v>
      </c>
      <c r="D34" s="14" t="s">
        <v>141</v>
      </c>
      <c r="E34" s="16" t="s">
        <v>73</v>
      </c>
      <c r="F34" s="38">
        <v>7250</v>
      </c>
      <c r="G34" s="38">
        <v>6000</v>
      </c>
      <c r="H34" s="39">
        <f t="shared" ref="H34:H36" si="2">G34/F34</f>
        <v>0.82758620689655171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9" customHeight="1" x14ac:dyDescent="0.2">
      <c r="A35" s="14">
        <v>2</v>
      </c>
      <c r="B35" s="15" t="s">
        <v>148</v>
      </c>
      <c r="C35" s="14" t="s">
        <v>141</v>
      </c>
      <c r="D35" s="14" t="s">
        <v>141</v>
      </c>
      <c r="E35" s="16" t="s">
        <v>73</v>
      </c>
      <c r="F35" s="38">
        <v>6750</v>
      </c>
      <c r="G35" s="38">
        <v>6000</v>
      </c>
      <c r="H35" s="39">
        <f t="shared" si="2"/>
        <v>0.88888888888888884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50" customHeight="1" x14ac:dyDescent="0.2">
      <c r="A36" s="14">
        <v>3</v>
      </c>
      <c r="B36" s="15" t="s">
        <v>149</v>
      </c>
      <c r="C36" s="14" t="s">
        <v>141</v>
      </c>
      <c r="D36" s="14" t="s">
        <v>141</v>
      </c>
      <c r="E36" s="16" t="s">
        <v>73</v>
      </c>
      <c r="F36" s="38">
        <v>7250</v>
      </c>
      <c r="G36" s="38">
        <v>6000</v>
      </c>
      <c r="H36" s="39">
        <f t="shared" si="2"/>
        <v>0.82758620689655171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12" t="s">
        <v>150</v>
      </c>
      <c r="B37" s="113"/>
      <c r="C37" s="113"/>
      <c r="D37" s="113"/>
      <c r="E37" s="113"/>
      <c r="F37" s="113"/>
      <c r="G37" s="113"/>
      <c r="H37" s="114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70" customHeight="1" x14ac:dyDescent="0.2">
      <c r="A38" s="14">
        <v>2</v>
      </c>
      <c r="B38" s="15" t="s">
        <v>143</v>
      </c>
      <c r="C38" s="14" t="s">
        <v>81</v>
      </c>
      <c r="D38" s="14" t="s">
        <v>81</v>
      </c>
      <c r="E38" s="16" t="s">
        <v>73</v>
      </c>
      <c r="F38" s="38">
        <v>11600</v>
      </c>
      <c r="G38" s="38">
        <v>10400</v>
      </c>
      <c r="H38" s="39">
        <f>G38/F38</f>
        <v>0.89655172413793105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50" customHeight="1" x14ac:dyDescent="0.2">
      <c r="A39" s="14">
        <v>3</v>
      </c>
      <c r="B39" s="15" t="s">
        <v>144</v>
      </c>
      <c r="C39" s="14" t="s">
        <v>81</v>
      </c>
      <c r="D39" s="14" t="s">
        <v>81</v>
      </c>
      <c r="E39" s="16" t="s">
        <v>73</v>
      </c>
      <c r="F39" s="38">
        <v>10800</v>
      </c>
      <c r="G39" s="38">
        <v>9600</v>
      </c>
      <c r="H39" s="39">
        <f t="shared" ref="H39:H44" si="3">G39/F39</f>
        <v>0.88888888888888884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0" customHeight="1" x14ac:dyDescent="0.2">
      <c r="A40" s="14">
        <v>4</v>
      </c>
      <c r="B40" s="15" t="s">
        <v>145</v>
      </c>
      <c r="C40" s="14" t="s">
        <v>81</v>
      </c>
      <c r="D40" s="14" t="s">
        <v>81</v>
      </c>
      <c r="E40" s="16" t="s">
        <v>73</v>
      </c>
      <c r="F40" s="38">
        <v>11600</v>
      </c>
      <c r="G40" s="38">
        <v>10400</v>
      </c>
      <c r="H40" s="39">
        <f t="shared" si="3"/>
        <v>0.89655172413793105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2" t="s">
        <v>151</v>
      </c>
      <c r="B41" s="113"/>
      <c r="C41" s="113"/>
      <c r="D41" s="113"/>
      <c r="E41" s="113"/>
      <c r="F41" s="113"/>
      <c r="G41" s="113"/>
      <c r="H41" s="114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50" customHeight="1" x14ac:dyDescent="0.2">
      <c r="A42" s="14">
        <v>1</v>
      </c>
      <c r="B42" s="15" t="s">
        <v>147</v>
      </c>
      <c r="C42" s="14" t="s">
        <v>84</v>
      </c>
      <c r="D42" s="14" t="s">
        <v>84</v>
      </c>
      <c r="E42" s="16" t="s">
        <v>73</v>
      </c>
      <c r="F42" s="38">
        <v>7250</v>
      </c>
      <c r="G42" s="38">
        <v>6750</v>
      </c>
      <c r="H42" s="39">
        <f t="shared" si="3"/>
        <v>0.93103448275862066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148</v>
      </c>
      <c r="C43" s="14" t="s">
        <v>84</v>
      </c>
      <c r="D43" s="14" t="s">
        <v>84</v>
      </c>
      <c r="E43" s="16" t="s">
        <v>73</v>
      </c>
      <c r="F43" s="38">
        <v>6750</v>
      </c>
      <c r="G43" s="38">
        <v>6250</v>
      </c>
      <c r="H43" s="39">
        <f t="shared" si="3"/>
        <v>0.92592592592592593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149</v>
      </c>
      <c r="C44" s="14" t="s">
        <v>84</v>
      </c>
      <c r="D44" s="14" t="s">
        <v>84</v>
      </c>
      <c r="E44" s="16" t="s">
        <v>73</v>
      </c>
      <c r="F44" s="38">
        <v>7250</v>
      </c>
      <c r="G44" s="38">
        <v>6750</v>
      </c>
      <c r="H44" s="39">
        <f t="shared" si="3"/>
        <v>0.93103448275862066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3" customFormat="1" ht="24" customHeight="1" x14ac:dyDescent="0.2">
      <c r="A45" s="112" t="s">
        <v>152</v>
      </c>
      <c r="B45" s="113"/>
      <c r="C45" s="113"/>
      <c r="D45" s="113"/>
      <c r="E45" s="113"/>
      <c r="F45" s="113"/>
      <c r="G45" s="113"/>
      <c r="H45" s="114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</row>
    <row r="46" spans="1:19" s="5" customFormat="1" ht="70" customHeight="1" x14ac:dyDescent="0.2">
      <c r="A46" s="14">
        <v>2</v>
      </c>
      <c r="B46" s="15" t="s">
        <v>143</v>
      </c>
      <c r="C46" s="14" t="s">
        <v>87</v>
      </c>
      <c r="D46" s="14" t="s">
        <v>87</v>
      </c>
      <c r="E46" s="16" t="s">
        <v>73</v>
      </c>
      <c r="F46" s="28">
        <v>12180</v>
      </c>
      <c r="G46" s="14" t="s">
        <v>153</v>
      </c>
      <c r="H46" s="39" t="s">
        <v>154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50" customHeight="1" x14ac:dyDescent="0.2">
      <c r="A47" s="14">
        <v>3</v>
      </c>
      <c r="B47" s="15" t="s">
        <v>144</v>
      </c>
      <c r="C47" s="14" t="s">
        <v>87</v>
      </c>
      <c r="D47" s="14" t="s">
        <v>87</v>
      </c>
      <c r="E47" s="16" t="s">
        <v>73</v>
      </c>
      <c r="F47" s="28">
        <v>11340</v>
      </c>
      <c r="G47" s="14" t="s">
        <v>153</v>
      </c>
      <c r="H47" s="39" t="s">
        <v>154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50" customHeight="1" x14ac:dyDescent="0.2">
      <c r="A48" s="14">
        <v>4</v>
      </c>
      <c r="B48" s="15" t="s">
        <v>145</v>
      </c>
      <c r="C48" s="14" t="s">
        <v>87</v>
      </c>
      <c r="D48" s="14" t="s">
        <v>87</v>
      </c>
      <c r="E48" s="16" t="s">
        <v>73</v>
      </c>
      <c r="F48" s="28">
        <v>12180</v>
      </c>
      <c r="G48" s="14" t="s">
        <v>153</v>
      </c>
      <c r="H48" s="39" t="s">
        <v>154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20.5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20.5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20.5" customHeight="1" x14ac:dyDescent="0.2">
      <c r="A51" s="25"/>
      <c r="B51" s="25"/>
      <c r="C51" s="25"/>
      <c r="D51" s="25"/>
      <c r="E51" s="25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20.5" customHeight="1" x14ac:dyDescent="0.2">
      <c r="A52" s="25"/>
      <c r="B52" s="25"/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20.5" customHeight="1" x14ac:dyDescent="0.2">
      <c r="A53" s="25"/>
      <c r="B53" s="25"/>
      <c r="C53" s="25"/>
      <c r="D53" s="25"/>
      <c r="E53" s="25"/>
      <c r="F53" s="25"/>
      <c r="G53" s="25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20.5" customHeight="1" x14ac:dyDescent="0.2">
      <c r="A54" s="25"/>
      <c r="B54" s="25"/>
      <c r="C54" s="25"/>
      <c r="D54" s="25"/>
      <c r="E54" s="25"/>
      <c r="F54" s="25"/>
      <c r="G54" s="25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19" customHeight="1" x14ac:dyDescent="0.2">
      <c r="A55" s="25"/>
      <c r="B55" s="25"/>
      <c r="C55" s="25"/>
      <c r="D55" s="25"/>
      <c r="E55" s="25"/>
      <c r="F55" s="25"/>
      <c r="G55" s="25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8" spans="1:19" s="1" customFormat="1" ht="20" customHeight="1" x14ac:dyDescent="0.2">
      <c r="A58" s="103" t="s">
        <v>0</v>
      </c>
      <c r="B58" s="104"/>
      <c r="C58" s="104"/>
      <c r="D58" s="104"/>
      <c r="E58" s="104"/>
      <c r="F58" s="104"/>
      <c r="G58" s="104"/>
      <c r="H58" s="104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5" t="s">
        <v>60</v>
      </c>
      <c r="B59" s="106"/>
      <c r="C59" s="106"/>
      <c r="D59" s="106"/>
      <c r="E59" s="106"/>
      <c r="F59" s="106"/>
      <c r="G59" s="106"/>
      <c r="H59" s="10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44" customHeight="1" x14ac:dyDescent="0.2">
      <c r="A60" s="109" t="s">
        <v>138</v>
      </c>
      <c r="B60" s="108"/>
      <c r="C60" s="108"/>
      <c r="D60" s="108"/>
      <c r="E60" s="108"/>
      <c r="F60" s="108"/>
      <c r="G60" s="108"/>
      <c r="H60" s="108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9"/>
      <c r="B61" s="109"/>
      <c r="C61" s="109"/>
      <c r="D61" s="109"/>
      <c r="E61" s="109"/>
      <c r="F61" s="109"/>
      <c r="G61" s="109"/>
      <c r="H61" s="10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10" t="s">
        <v>93</v>
      </c>
      <c r="B62" s="111"/>
      <c r="C62" s="111"/>
      <c r="D62" s="111"/>
      <c r="E62" s="111"/>
      <c r="F62" s="111"/>
      <c r="G62" s="111"/>
      <c r="H62" s="1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2" t="s">
        <v>94</v>
      </c>
      <c r="B63" s="102"/>
      <c r="C63" s="102"/>
      <c r="D63" s="102"/>
      <c r="E63" s="102"/>
      <c r="F63" s="102"/>
      <c r="G63" s="102"/>
      <c r="H63" s="102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95</v>
      </c>
      <c r="D65" s="12" t="s">
        <v>96</v>
      </c>
      <c r="E65" s="11" t="s">
        <v>97</v>
      </c>
      <c r="F65" s="11" t="s">
        <v>98</v>
      </c>
      <c r="G65" s="12" t="s">
        <v>99</v>
      </c>
      <c r="H65" s="11" t="s">
        <v>100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12" t="s">
        <v>139</v>
      </c>
      <c r="B66" s="113"/>
      <c r="C66" s="113"/>
      <c r="D66" s="113"/>
      <c r="E66" s="113"/>
      <c r="F66" s="113"/>
      <c r="G66" s="113"/>
      <c r="H66" s="114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3" customFormat="1" ht="54" customHeight="1" x14ac:dyDescent="0.2">
      <c r="A67" s="14">
        <v>1</v>
      </c>
      <c r="B67" s="15" t="s">
        <v>140</v>
      </c>
      <c r="C67" s="20" t="s">
        <v>101</v>
      </c>
      <c r="D67" s="20" t="s">
        <v>101</v>
      </c>
      <c r="E67" s="20" t="s">
        <v>101</v>
      </c>
      <c r="F67" s="16" t="s">
        <v>102</v>
      </c>
      <c r="G67" s="16" t="s">
        <v>102</v>
      </c>
      <c r="H67" s="14" t="s">
        <v>101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70" customHeight="1" x14ac:dyDescent="0.2">
      <c r="A68" s="14">
        <v>2</v>
      </c>
      <c r="B68" s="15" t="s">
        <v>143</v>
      </c>
      <c r="C68" s="16" t="s">
        <v>102</v>
      </c>
      <c r="D68" s="16" t="s">
        <v>102</v>
      </c>
      <c r="E68" s="20" t="s">
        <v>101</v>
      </c>
      <c r="F68" s="16" t="s">
        <v>102</v>
      </c>
      <c r="G68" s="16" t="s">
        <v>102</v>
      </c>
      <c r="H68" s="14" t="s">
        <v>101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0" customHeight="1" x14ac:dyDescent="0.2">
      <c r="A69" s="14">
        <v>3</v>
      </c>
      <c r="B69" s="15" t="s">
        <v>144</v>
      </c>
      <c r="C69" s="16" t="s">
        <v>102</v>
      </c>
      <c r="D69" s="16" t="s">
        <v>102</v>
      </c>
      <c r="E69" s="20" t="s">
        <v>101</v>
      </c>
      <c r="F69" s="16" t="s">
        <v>102</v>
      </c>
      <c r="G69" s="16" t="s">
        <v>102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50" customHeight="1" x14ac:dyDescent="0.2">
      <c r="A70" s="14">
        <v>4</v>
      </c>
      <c r="B70" s="15" t="s">
        <v>145</v>
      </c>
      <c r="C70" s="16" t="s">
        <v>102</v>
      </c>
      <c r="D70" s="16" t="s">
        <v>102</v>
      </c>
      <c r="E70" s="20" t="s">
        <v>101</v>
      </c>
      <c r="F70" s="16" t="s">
        <v>102</v>
      </c>
      <c r="G70" s="16" t="s">
        <v>102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12" t="s">
        <v>146</v>
      </c>
      <c r="B71" s="113"/>
      <c r="C71" s="113"/>
      <c r="D71" s="113"/>
      <c r="E71" s="113"/>
      <c r="F71" s="113"/>
      <c r="G71" s="113"/>
      <c r="H71" s="114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50" customHeight="1" x14ac:dyDescent="0.2">
      <c r="A72" s="14">
        <v>5</v>
      </c>
      <c r="B72" s="15" t="s">
        <v>147</v>
      </c>
      <c r="C72" s="16" t="s">
        <v>102</v>
      </c>
      <c r="D72" s="16" t="s">
        <v>102</v>
      </c>
      <c r="E72" s="20" t="s">
        <v>101</v>
      </c>
      <c r="F72" s="16" t="s">
        <v>102</v>
      </c>
      <c r="G72" s="16" t="s">
        <v>102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3" customHeight="1" x14ac:dyDescent="0.2">
      <c r="A73" s="14">
        <v>6</v>
      </c>
      <c r="B73" s="15" t="s">
        <v>148</v>
      </c>
      <c r="C73" s="16" t="s">
        <v>102</v>
      </c>
      <c r="D73" s="16" t="s">
        <v>102</v>
      </c>
      <c r="E73" s="20" t="s">
        <v>101</v>
      </c>
      <c r="F73" s="16" t="s">
        <v>102</v>
      </c>
      <c r="G73" s="16" t="s">
        <v>102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50" customHeight="1" x14ac:dyDescent="0.2">
      <c r="A74" s="14">
        <v>7</v>
      </c>
      <c r="B74" s="15" t="s">
        <v>149</v>
      </c>
      <c r="C74" s="16" t="s">
        <v>102</v>
      </c>
      <c r="D74" s="16" t="s">
        <v>102</v>
      </c>
      <c r="E74" s="20" t="s">
        <v>101</v>
      </c>
      <c r="F74" s="16" t="s">
        <v>102</v>
      </c>
      <c r="G74" s="16" t="s">
        <v>102</v>
      </c>
      <c r="H74" s="14" t="s">
        <v>101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3" customFormat="1" ht="24" customHeight="1" x14ac:dyDescent="0.2">
      <c r="A75" s="112" t="s">
        <v>150</v>
      </c>
      <c r="B75" s="113"/>
      <c r="C75" s="113"/>
      <c r="D75" s="113"/>
      <c r="E75" s="113"/>
      <c r="F75" s="113"/>
      <c r="G75" s="113"/>
      <c r="H75" s="114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s="5" customFormat="1" ht="70" customHeight="1" x14ac:dyDescent="0.2">
      <c r="A76" s="14">
        <v>8</v>
      </c>
      <c r="B76" s="15" t="s">
        <v>143</v>
      </c>
      <c r="C76" s="16" t="s">
        <v>102</v>
      </c>
      <c r="D76" s="16" t="s">
        <v>102</v>
      </c>
      <c r="E76" s="20" t="s">
        <v>101</v>
      </c>
      <c r="F76" s="16" t="s">
        <v>102</v>
      </c>
      <c r="G76" s="16" t="s">
        <v>102</v>
      </c>
      <c r="H76" s="16" t="s">
        <v>102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5" customFormat="1" ht="50" customHeight="1" x14ac:dyDescent="0.2">
      <c r="A77" s="14">
        <v>9</v>
      </c>
      <c r="B77" s="15" t="s">
        <v>144</v>
      </c>
      <c r="C77" s="16" t="s">
        <v>102</v>
      </c>
      <c r="D77" s="16" t="s">
        <v>102</v>
      </c>
      <c r="E77" s="20" t="s">
        <v>101</v>
      </c>
      <c r="F77" s="16" t="s">
        <v>102</v>
      </c>
      <c r="G77" s="16" t="s">
        <v>102</v>
      </c>
      <c r="H77" s="16" t="s">
        <v>102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50" customHeight="1" x14ac:dyDescent="0.2">
      <c r="A78" s="14">
        <v>10</v>
      </c>
      <c r="B78" s="15" t="s">
        <v>145</v>
      </c>
      <c r="C78" s="16" t="s">
        <v>102</v>
      </c>
      <c r="D78" s="16" t="s">
        <v>102</v>
      </c>
      <c r="E78" s="20" t="s">
        <v>101</v>
      </c>
      <c r="F78" s="16" t="s">
        <v>102</v>
      </c>
      <c r="G78" s="16" t="s">
        <v>102</v>
      </c>
      <c r="H78" s="14" t="s">
        <v>101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3" customFormat="1" ht="24" customHeight="1" x14ac:dyDescent="0.2">
      <c r="A79" s="112" t="s">
        <v>151</v>
      </c>
      <c r="B79" s="113"/>
      <c r="C79" s="113"/>
      <c r="D79" s="113"/>
      <c r="E79" s="113"/>
      <c r="F79" s="113"/>
      <c r="G79" s="113"/>
      <c r="H79" s="114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s="5" customFormat="1" ht="50" customHeight="1" x14ac:dyDescent="0.2">
      <c r="A80" s="14">
        <v>11</v>
      </c>
      <c r="B80" s="15" t="s">
        <v>147</v>
      </c>
      <c r="C80" s="16" t="s">
        <v>102</v>
      </c>
      <c r="D80" s="16" t="s">
        <v>102</v>
      </c>
      <c r="E80" s="20" t="s">
        <v>101</v>
      </c>
      <c r="F80" s="16" t="s">
        <v>102</v>
      </c>
      <c r="G80" s="16" t="s">
        <v>102</v>
      </c>
      <c r="H80" s="14" t="s">
        <v>101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50" customHeight="1" x14ac:dyDescent="0.2">
      <c r="A81" s="14">
        <v>12</v>
      </c>
      <c r="B81" s="15" t="s">
        <v>148</v>
      </c>
      <c r="C81" s="16" t="s">
        <v>102</v>
      </c>
      <c r="D81" s="16" t="s">
        <v>102</v>
      </c>
      <c r="E81" s="20" t="s">
        <v>101</v>
      </c>
      <c r="F81" s="16" t="s">
        <v>102</v>
      </c>
      <c r="G81" s="16" t="s">
        <v>102</v>
      </c>
      <c r="H81" s="14" t="s">
        <v>101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50" customHeight="1" x14ac:dyDescent="0.2">
      <c r="A82" s="14">
        <v>13</v>
      </c>
      <c r="B82" s="15" t="s">
        <v>149</v>
      </c>
      <c r="C82" s="16" t="s">
        <v>102</v>
      </c>
      <c r="D82" s="16" t="s">
        <v>102</v>
      </c>
      <c r="E82" s="20" t="s">
        <v>101</v>
      </c>
      <c r="F82" s="16" t="s">
        <v>102</v>
      </c>
      <c r="G82" s="16" t="s">
        <v>102</v>
      </c>
      <c r="H82" s="14" t="s">
        <v>101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3" customFormat="1" ht="24" customHeight="1" x14ac:dyDescent="0.2">
      <c r="A83" s="112" t="s">
        <v>152</v>
      </c>
      <c r="B83" s="113"/>
      <c r="C83" s="113"/>
      <c r="D83" s="113"/>
      <c r="E83" s="113"/>
      <c r="F83" s="113"/>
      <c r="G83" s="113"/>
      <c r="H83" s="114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</row>
    <row r="84" spans="1:19" s="5" customFormat="1" ht="70" customHeight="1" x14ac:dyDescent="0.2">
      <c r="A84" s="14">
        <v>14</v>
      </c>
      <c r="B84" s="15" t="s">
        <v>143</v>
      </c>
      <c r="C84" s="19" t="s">
        <v>155</v>
      </c>
      <c r="D84" s="19" t="s">
        <v>155</v>
      </c>
      <c r="E84" s="19" t="s">
        <v>155</v>
      </c>
      <c r="F84" s="19" t="s">
        <v>155</v>
      </c>
      <c r="G84" s="19" t="s">
        <v>155</v>
      </c>
      <c r="H84" s="14" t="s">
        <v>101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50" customHeight="1" x14ac:dyDescent="0.2">
      <c r="A85" s="14">
        <v>15</v>
      </c>
      <c r="B85" s="15" t="s">
        <v>144</v>
      </c>
      <c r="C85" s="19" t="s">
        <v>155</v>
      </c>
      <c r="D85" s="19" t="s">
        <v>155</v>
      </c>
      <c r="E85" s="19" t="s">
        <v>155</v>
      </c>
      <c r="F85" s="19" t="s">
        <v>155</v>
      </c>
      <c r="G85" s="19" t="s">
        <v>155</v>
      </c>
      <c r="H85" s="14" t="s">
        <v>101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50" customHeight="1" x14ac:dyDescent="0.2">
      <c r="A86" s="14">
        <v>16</v>
      </c>
      <c r="B86" s="15" t="s">
        <v>145</v>
      </c>
      <c r="C86" s="19" t="s">
        <v>155</v>
      </c>
      <c r="D86" s="19" t="s">
        <v>155</v>
      </c>
      <c r="E86" s="19" t="s">
        <v>155</v>
      </c>
      <c r="F86" s="19" t="s">
        <v>155</v>
      </c>
      <c r="G86" s="19" t="s">
        <v>155</v>
      </c>
      <c r="H86" s="14" t="s">
        <v>101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 t="s">
        <v>104</v>
      </c>
      <c r="B92" s="6"/>
      <c r="C92" s="6"/>
      <c r="D92" s="32" t="s">
        <v>105</v>
      </c>
      <c r="E92" s="6"/>
      <c r="F92" s="10" t="s">
        <v>106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/>
      <c r="B93" s="6"/>
      <c r="C93" s="6"/>
      <c r="D93" s="32"/>
      <c r="E93" s="6"/>
      <c r="F93" s="33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/>
      <c r="B94" s="6"/>
      <c r="C94" s="6"/>
      <c r="D94" s="32"/>
      <c r="E94" s="6"/>
      <c r="F94" s="33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13" t="s">
        <v>107</v>
      </c>
      <c r="B95" s="6"/>
      <c r="C95" s="6"/>
      <c r="D95" s="13" t="s">
        <v>108</v>
      </c>
      <c r="E95" s="6"/>
      <c r="F95" s="13" t="s">
        <v>109</v>
      </c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32" t="s">
        <v>110</v>
      </c>
      <c r="B96" s="6"/>
      <c r="C96" s="6"/>
      <c r="D96" s="32" t="s">
        <v>111</v>
      </c>
      <c r="E96" s="6"/>
      <c r="F96" s="32" t="s">
        <v>112</v>
      </c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" customHeight="1" x14ac:dyDescent="0.2">
      <c r="A807" s="7"/>
      <c r="B807" s="7"/>
      <c r="C807" s="7"/>
      <c r="D807" s="7"/>
      <c r="E807" s="7"/>
      <c r="F807" s="31"/>
      <c r="G807" s="31"/>
      <c r="H807" s="7"/>
    </row>
  </sheetData>
  <mergeCells count="29">
    <mergeCell ref="A71:H71"/>
    <mergeCell ref="A75:H75"/>
    <mergeCell ref="A79:H79"/>
    <mergeCell ref="A83:H83"/>
    <mergeCell ref="A60:H60"/>
    <mergeCell ref="A61:H61"/>
    <mergeCell ref="A62:H62"/>
    <mergeCell ref="A63:H63"/>
    <mergeCell ref="A66:H66"/>
    <mergeCell ref="A37:H37"/>
    <mergeCell ref="A41:H41"/>
    <mergeCell ref="A45:H45"/>
    <mergeCell ref="A58:H58"/>
    <mergeCell ref="A59:H59"/>
    <mergeCell ref="A24:H24"/>
    <mergeCell ref="A25:H25"/>
    <mergeCell ref="A28:H28"/>
    <mergeCell ref="F29:H29"/>
    <mergeCell ref="A33:H33"/>
    <mergeCell ref="A7:H7"/>
    <mergeCell ref="A20:H20"/>
    <mergeCell ref="A21:H21"/>
    <mergeCell ref="A22:H22"/>
    <mergeCell ref="A23:H23"/>
    <mergeCell ref="A2:H2"/>
    <mergeCell ref="A3:H3"/>
    <mergeCell ref="A4:H4"/>
    <mergeCell ref="A5:H5"/>
    <mergeCell ref="A6:H6"/>
  </mergeCells>
  <dataValidations count="3">
    <dataValidation type="list" allowBlank="1" showInputMessage="1" showErrorMessage="1" sqref="E71 E79 E29:E36 E38:E44 E46:E48" xr:uid="{00000000-0002-0000-0200-000000000000}">
      <formula1>"Implemented, Ongoing, For Implementation, Rescheduled, Deferred, Cancelled"</formula1>
    </dataValidation>
    <dataValidation type="list" allowBlank="1" showInputMessage="1" showErrorMessage="1" sqref="G10:G16" xr:uid="{00000000-0002-0000-0200-000001000000}">
      <formula1>"MET, Partially MET,UNMET,Not Yet Due, Overdue"</formula1>
    </dataValidation>
    <dataValidation type="list" allowBlank="1" showInputMessage="1" showErrorMessage="1" sqref="C76:H78 C72:H74 C84:H86 C67:H70 C80:H82" xr:uid="{00000000-0002-0000-02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  <rowBreaks count="1" manualBreakCount="1">
    <brk id="54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S877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3" t="s">
        <v>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5" t="s">
        <v>60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7" t="s">
        <v>156</v>
      </c>
      <c r="B5" s="108"/>
      <c r="C5" s="108"/>
      <c r="D5" s="108"/>
      <c r="E5" s="108"/>
      <c r="F5" s="108"/>
      <c r="G5" s="108"/>
      <c r="H5" s="108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11"/>
      <c r="C7" s="111"/>
      <c r="D7" s="111"/>
      <c r="E7" s="111"/>
      <c r="F7" s="111"/>
      <c r="G7" s="111"/>
      <c r="H7" s="1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2" t="s">
        <v>3</v>
      </c>
      <c r="B8" s="102"/>
      <c r="C8" s="102"/>
      <c r="D8" s="102"/>
      <c r="E8" s="102"/>
      <c r="F8" s="102"/>
      <c r="G8" s="102"/>
      <c r="H8" s="102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8" si="0">E11-D11</f>
        <v>0</v>
      </c>
      <c r="G11" s="16" t="s">
        <v>15</v>
      </c>
      <c r="H11" s="15" t="s">
        <v>157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371" customHeight="1" x14ac:dyDescent="0.2">
      <c r="A12" s="14" t="s">
        <v>17</v>
      </c>
      <c r="B12" s="15" t="s">
        <v>18</v>
      </c>
      <c r="C12" s="14" t="s">
        <v>19</v>
      </c>
      <c r="D12" s="14">
        <v>2</v>
      </c>
      <c r="E12" s="14">
        <v>0</v>
      </c>
      <c r="F12" s="18">
        <f t="shared" si="0"/>
        <v>-2</v>
      </c>
      <c r="G12" s="19" t="s">
        <v>20</v>
      </c>
      <c r="H12" s="15" t="s">
        <v>158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239" customHeight="1" x14ac:dyDescent="0.2">
      <c r="A13" s="14" t="s">
        <v>22</v>
      </c>
      <c r="B13" s="15" t="s">
        <v>23</v>
      </c>
      <c r="C13" s="14" t="s">
        <v>19</v>
      </c>
      <c r="D13" s="14">
        <v>218</v>
      </c>
      <c r="E13" s="14">
        <v>210</v>
      </c>
      <c r="F13" s="70">
        <f t="shared" si="0"/>
        <v>-8</v>
      </c>
      <c r="G13" s="19" t="s">
        <v>20</v>
      </c>
      <c r="H13" s="15" t="s">
        <v>159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239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35">
        <f t="shared" si="0"/>
        <v>3.0000000000000027E-2</v>
      </c>
      <c r="G14" s="16" t="s">
        <v>15</v>
      </c>
      <c r="H14" s="15" t="s">
        <v>160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151" customHeight="1" x14ac:dyDescent="0.2">
      <c r="A15" s="14" t="s">
        <v>28</v>
      </c>
      <c r="B15" s="15" t="s">
        <v>29</v>
      </c>
      <c r="C15" s="14" t="s">
        <v>19</v>
      </c>
      <c r="D15" s="23">
        <v>4</v>
      </c>
      <c r="E15" s="23">
        <v>1</v>
      </c>
      <c r="F15" s="36">
        <f t="shared" si="0"/>
        <v>-3</v>
      </c>
      <c r="G15" s="19" t="s">
        <v>20</v>
      </c>
      <c r="H15" s="15" t="s">
        <v>161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67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0</v>
      </c>
      <c r="F16" s="68">
        <f t="shared" si="0"/>
        <v>-1</v>
      </c>
      <c r="G16" s="19" t="s">
        <v>20</v>
      </c>
      <c r="H16" s="15" t="s">
        <v>162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70" customHeight="1" x14ac:dyDescent="0.2">
      <c r="A17" s="14" t="s">
        <v>53</v>
      </c>
      <c r="B17" s="15" t="s">
        <v>54</v>
      </c>
      <c r="C17" s="14" t="s">
        <v>51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163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4.7800000000000002E-2</v>
      </c>
      <c r="F18" s="98">
        <f t="shared" si="0"/>
        <v>-0.6522</v>
      </c>
      <c r="G18" s="19" t="s">
        <v>20</v>
      </c>
      <c r="H18" s="15" t="s">
        <v>381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2" spans="1:19" s="1" customFormat="1" ht="20" customHeight="1" x14ac:dyDescent="0.2">
      <c r="A22" s="103" t="s">
        <v>0</v>
      </c>
      <c r="B22" s="104"/>
      <c r="C22" s="104"/>
      <c r="D22" s="104"/>
      <c r="E22" s="104"/>
      <c r="F22" s="104"/>
      <c r="G22" s="104"/>
      <c r="H22" s="104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s="1" customFormat="1" ht="20" customHeight="1" x14ac:dyDescent="0.2">
      <c r="A23" s="105" t="s">
        <v>60</v>
      </c>
      <c r="B23" s="106"/>
      <c r="C23" s="106"/>
      <c r="D23" s="106"/>
      <c r="E23" s="106"/>
      <c r="F23" s="106"/>
      <c r="G23" s="106"/>
      <c r="H23" s="10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s="1" customFormat="1" ht="20" customHeight="1" x14ac:dyDescent="0.2">
      <c r="A24" s="107" t="s">
        <v>164</v>
      </c>
      <c r="B24" s="108"/>
      <c r="C24" s="108"/>
      <c r="D24" s="108"/>
      <c r="E24" s="108"/>
      <c r="F24" s="108"/>
      <c r="G24" s="108"/>
      <c r="H24" s="108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 ht="17" x14ac:dyDescent="0.2">
      <c r="A25" s="109"/>
      <c r="B25" s="109"/>
      <c r="C25" s="109"/>
      <c r="D25" s="109"/>
      <c r="E25" s="109"/>
      <c r="F25" s="109"/>
      <c r="G25" s="109"/>
      <c r="H25" s="109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s="2" customFormat="1" ht="20" customHeight="1" x14ac:dyDescent="0.2">
      <c r="A26" s="110" t="s">
        <v>62</v>
      </c>
      <c r="B26" s="111"/>
      <c r="C26" s="111"/>
      <c r="D26" s="111"/>
      <c r="E26" s="111"/>
      <c r="F26" s="111"/>
      <c r="G26" s="111"/>
      <c r="H26" s="11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2" customFormat="1" ht="20" customHeight="1" x14ac:dyDescent="0.2">
      <c r="A27" s="102" t="s">
        <v>63</v>
      </c>
      <c r="B27" s="102"/>
      <c r="C27" s="102"/>
      <c r="D27" s="102"/>
      <c r="E27" s="102"/>
      <c r="F27" s="102"/>
      <c r="G27" s="102"/>
      <c r="H27" s="102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s="2" customFormat="1" ht="20" customHeight="1" x14ac:dyDescent="0.2">
      <c r="A28" s="8"/>
      <c r="B28" s="9"/>
      <c r="C28" s="9"/>
      <c r="D28" s="9"/>
      <c r="E28" s="9"/>
      <c r="F28" s="9"/>
      <c r="G28" s="9"/>
      <c r="H28" s="9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s="3" customFormat="1" ht="24" customHeight="1" x14ac:dyDescent="0.2">
      <c r="A29" s="11" t="s">
        <v>64</v>
      </c>
      <c r="B29" s="12" t="s">
        <v>65</v>
      </c>
      <c r="C29" s="11" t="s">
        <v>66</v>
      </c>
      <c r="D29" s="12" t="s">
        <v>67</v>
      </c>
      <c r="E29" s="11" t="s">
        <v>68</v>
      </c>
      <c r="F29" s="11" t="s">
        <v>69</v>
      </c>
      <c r="G29" s="12" t="s">
        <v>70</v>
      </c>
      <c r="H29" s="11" t="s">
        <v>57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</row>
    <row r="30" spans="1:19" s="3" customFormat="1" ht="24" customHeight="1" x14ac:dyDescent="0.2">
      <c r="A30" s="112" t="s">
        <v>385</v>
      </c>
      <c r="B30" s="113"/>
      <c r="C30" s="113"/>
      <c r="D30" s="113"/>
      <c r="E30" s="113"/>
      <c r="F30" s="113"/>
      <c r="G30" s="113"/>
      <c r="H30" s="114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</row>
    <row r="31" spans="1:19" s="5" customFormat="1" ht="30" customHeight="1" x14ac:dyDescent="0.2">
      <c r="A31" s="14">
        <v>1</v>
      </c>
      <c r="B31" s="15" t="s">
        <v>173</v>
      </c>
      <c r="C31" s="14" t="s">
        <v>141</v>
      </c>
      <c r="D31" s="14" t="s">
        <v>141</v>
      </c>
      <c r="E31" s="16" t="s">
        <v>73</v>
      </c>
      <c r="F31" s="124">
        <v>231600</v>
      </c>
      <c r="G31" s="124">
        <v>129000</v>
      </c>
      <c r="H31" s="127">
        <f t="shared" ref="H31" si="1">G31/F31</f>
        <v>0.55699481865284972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30" customHeight="1" x14ac:dyDescent="0.2">
      <c r="A32" s="14">
        <v>2</v>
      </c>
      <c r="B32" s="15" t="s">
        <v>174</v>
      </c>
      <c r="C32" s="14" t="s">
        <v>141</v>
      </c>
      <c r="D32" s="14" t="s">
        <v>141</v>
      </c>
      <c r="E32" s="16" t="s">
        <v>73</v>
      </c>
      <c r="F32" s="125"/>
      <c r="G32" s="125"/>
      <c r="H32" s="128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0" customHeight="1" x14ac:dyDescent="0.2">
      <c r="A33" s="14">
        <v>3</v>
      </c>
      <c r="B33" s="15" t="s">
        <v>175</v>
      </c>
      <c r="C33" s="14" t="s">
        <v>141</v>
      </c>
      <c r="D33" s="14" t="s">
        <v>141</v>
      </c>
      <c r="E33" s="16" t="s">
        <v>73</v>
      </c>
      <c r="F33" s="125"/>
      <c r="G33" s="125"/>
      <c r="H33" s="128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5" customFormat="1" ht="30" customHeight="1" x14ac:dyDescent="0.2">
      <c r="A34" s="14">
        <v>4</v>
      </c>
      <c r="B34" s="15" t="s">
        <v>176</v>
      </c>
      <c r="C34" s="14" t="s">
        <v>72</v>
      </c>
      <c r="D34" s="14" t="s">
        <v>72</v>
      </c>
      <c r="E34" s="16" t="s">
        <v>73</v>
      </c>
      <c r="F34" s="126"/>
      <c r="G34" s="126"/>
      <c r="H34" s="129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3" customFormat="1" ht="24" customHeight="1" x14ac:dyDescent="0.2">
      <c r="A35" s="112" t="s">
        <v>165</v>
      </c>
      <c r="B35" s="113"/>
      <c r="C35" s="113"/>
      <c r="D35" s="113"/>
      <c r="E35" s="113"/>
      <c r="F35" s="113"/>
      <c r="G35" s="113"/>
      <c r="H35" s="114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19" s="5" customFormat="1" ht="35" customHeight="1" x14ac:dyDescent="0.2">
      <c r="A36" s="14">
        <v>1</v>
      </c>
      <c r="B36" s="15" t="s">
        <v>166</v>
      </c>
      <c r="C36" s="14" t="s">
        <v>72</v>
      </c>
      <c r="D36" s="27" t="s">
        <v>91</v>
      </c>
      <c r="E36" s="27" t="s">
        <v>167</v>
      </c>
      <c r="F36" s="28" t="s">
        <v>154</v>
      </c>
      <c r="G36" s="28" t="s">
        <v>154</v>
      </c>
      <c r="H36" s="39" t="s">
        <v>154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35" customHeight="1" x14ac:dyDescent="0.2">
      <c r="A37" s="14">
        <v>2</v>
      </c>
      <c r="B37" s="15" t="s">
        <v>168</v>
      </c>
      <c r="C37" s="14" t="s">
        <v>72</v>
      </c>
      <c r="D37" s="27" t="s">
        <v>91</v>
      </c>
      <c r="E37" s="27" t="s">
        <v>167</v>
      </c>
      <c r="F37" s="124">
        <v>49100</v>
      </c>
      <c r="G37" s="124">
        <v>0</v>
      </c>
      <c r="H37" s="127">
        <f t="shared" ref="H37:H42" si="2">G37/F37</f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30" customHeight="1" x14ac:dyDescent="0.2">
      <c r="A38" s="14">
        <v>3</v>
      </c>
      <c r="B38" s="15" t="s">
        <v>169</v>
      </c>
      <c r="C38" s="14" t="s">
        <v>72</v>
      </c>
      <c r="D38" s="27" t="s">
        <v>91</v>
      </c>
      <c r="E38" s="27" t="s">
        <v>167</v>
      </c>
      <c r="F38" s="125"/>
      <c r="G38" s="125"/>
      <c r="H38" s="128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0" customHeight="1" x14ac:dyDescent="0.2">
      <c r="A39" s="14">
        <v>4</v>
      </c>
      <c r="B39" s="15" t="s">
        <v>170</v>
      </c>
      <c r="C39" s="14" t="s">
        <v>72</v>
      </c>
      <c r="D39" s="27" t="s">
        <v>91</v>
      </c>
      <c r="E39" s="27" t="s">
        <v>167</v>
      </c>
      <c r="F39" s="125"/>
      <c r="G39" s="125"/>
      <c r="H39" s="128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35" customHeight="1" x14ac:dyDescent="0.2">
      <c r="A40" s="14">
        <v>5</v>
      </c>
      <c r="B40" s="15" t="s">
        <v>171</v>
      </c>
      <c r="C40" s="14" t="s">
        <v>72</v>
      </c>
      <c r="D40" s="27" t="s">
        <v>91</v>
      </c>
      <c r="E40" s="27" t="s">
        <v>167</v>
      </c>
      <c r="F40" s="126"/>
      <c r="G40" s="126"/>
      <c r="H40" s="129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2" t="s">
        <v>172</v>
      </c>
      <c r="B41" s="113"/>
      <c r="C41" s="113"/>
      <c r="D41" s="113"/>
      <c r="E41" s="113"/>
      <c r="F41" s="113"/>
      <c r="G41" s="113"/>
      <c r="H41" s="114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30" customHeight="1" x14ac:dyDescent="0.2">
      <c r="A42" s="14">
        <v>1</v>
      </c>
      <c r="B42" s="15" t="s">
        <v>173</v>
      </c>
      <c r="C42" s="14" t="s">
        <v>84</v>
      </c>
      <c r="D42" s="27" t="s">
        <v>91</v>
      </c>
      <c r="E42" s="27" t="s">
        <v>167</v>
      </c>
      <c r="F42" s="124">
        <v>152775</v>
      </c>
      <c r="G42" s="124">
        <v>0</v>
      </c>
      <c r="H42" s="127">
        <f t="shared" si="2"/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30" customHeight="1" x14ac:dyDescent="0.2">
      <c r="A43" s="14">
        <v>2</v>
      </c>
      <c r="B43" s="15" t="s">
        <v>174</v>
      </c>
      <c r="C43" s="14" t="s">
        <v>84</v>
      </c>
      <c r="D43" s="27" t="s">
        <v>91</v>
      </c>
      <c r="E43" s="27" t="s">
        <v>167</v>
      </c>
      <c r="F43" s="125"/>
      <c r="G43" s="125"/>
      <c r="H43" s="128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30" customHeight="1" x14ac:dyDescent="0.2">
      <c r="A44" s="14">
        <v>3</v>
      </c>
      <c r="B44" s="15" t="s">
        <v>175</v>
      </c>
      <c r="C44" s="14" t="s">
        <v>84</v>
      </c>
      <c r="D44" s="27" t="s">
        <v>91</v>
      </c>
      <c r="E44" s="27" t="s">
        <v>167</v>
      </c>
      <c r="F44" s="125"/>
      <c r="G44" s="125"/>
      <c r="H44" s="128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0" customHeight="1" x14ac:dyDescent="0.2">
      <c r="A45" s="14">
        <v>4</v>
      </c>
      <c r="B45" s="15" t="s">
        <v>176</v>
      </c>
      <c r="C45" s="14" t="s">
        <v>84</v>
      </c>
      <c r="D45" s="27" t="s">
        <v>91</v>
      </c>
      <c r="E45" s="27" t="s">
        <v>167</v>
      </c>
      <c r="F45" s="126"/>
      <c r="G45" s="126"/>
      <c r="H45" s="129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3" customFormat="1" ht="24" customHeight="1" x14ac:dyDescent="0.2">
      <c r="A46" s="112" t="s">
        <v>177</v>
      </c>
      <c r="B46" s="113"/>
      <c r="C46" s="113"/>
      <c r="D46" s="113"/>
      <c r="E46" s="113"/>
      <c r="F46" s="113"/>
      <c r="G46" s="113"/>
      <c r="H46" s="114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</row>
    <row r="47" spans="1:19" s="5" customFormat="1" ht="35" customHeight="1" x14ac:dyDescent="0.2">
      <c r="A47" s="14">
        <v>1</v>
      </c>
      <c r="B47" s="15" t="s">
        <v>168</v>
      </c>
      <c r="C47" s="14" t="s">
        <v>84</v>
      </c>
      <c r="D47" s="27" t="s">
        <v>91</v>
      </c>
      <c r="E47" s="27" t="s">
        <v>167</v>
      </c>
      <c r="F47" s="124">
        <v>90405</v>
      </c>
      <c r="G47" s="124">
        <v>0</v>
      </c>
      <c r="H47" s="127">
        <f>G47/F47</f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30" customHeight="1" x14ac:dyDescent="0.2">
      <c r="A48" s="14">
        <v>2</v>
      </c>
      <c r="B48" s="15" t="s">
        <v>169</v>
      </c>
      <c r="C48" s="14" t="s">
        <v>84</v>
      </c>
      <c r="D48" s="27" t="s">
        <v>91</v>
      </c>
      <c r="E48" s="27" t="s">
        <v>167</v>
      </c>
      <c r="F48" s="125"/>
      <c r="G48" s="125"/>
      <c r="H48" s="128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30" customHeight="1" x14ac:dyDescent="0.2">
      <c r="A49" s="14">
        <v>3</v>
      </c>
      <c r="B49" s="15" t="s">
        <v>170</v>
      </c>
      <c r="C49" s="14" t="s">
        <v>84</v>
      </c>
      <c r="D49" s="27" t="s">
        <v>91</v>
      </c>
      <c r="E49" s="27" t="s">
        <v>167</v>
      </c>
      <c r="F49" s="125"/>
      <c r="G49" s="125"/>
      <c r="H49" s="128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35" customHeight="1" x14ac:dyDescent="0.2">
      <c r="A50" s="14">
        <v>4</v>
      </c>
      <c r="B50" s="15" t="s">
        <v>171</v>
      </c>
      <c r="C50" s="14" t="s">
        <v>84</v>
      </c>
      <c r="D50" s="27" t="s">
        <v>91</v>
      </c>
      <c r="E50" s="27" t="s">
        <v>167</v>
      </c>
      <c r="F50" s="126"/>
      <c r="G50" s="126"/>
      <c r="H50" s="129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3" customFormat="1" ht="24" customHeight="1" x14ac:dyDescent="0.2">
      <c r="A51" s="112" t="s">
        <v>178</v>
      </c>
      <c r="B51" s="113"/>
      <c r="C51" s="113"/>
      <c r="D51" s="113"/>
      <c r="E51" s="113"/>
      <c r="F51" s="113"/>
      <c r="G51" s="113"/>
      <c r="H51" s="114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</row>
    <row r="52" spans="1:19" s="5" customFormat="1" ht="35" customHeight="1" x14ac:dyDescent="0.2">
      <c r="A52" s="14">
        <v>1</v>
      </c>
      <c r="B52" s="15" t="s">
        <v>179</v>
      </c>
      <c r="C52" s="14" t="s">
        <v>87</v>
      </c>
      <c r="D52" s="27" t="s">
        <v>91</v>
      </c>
      <c r="E52" s="27" t="s">
        <v>167</v>
      </c>
      <c r="F52" s="28">
        <v>10400</v>
      </c>
      <c r="G52" s="28">
        <v>0</v>
      </c>
      <c r="H52" s="39">
        <f>G52/F52</f>
        <v>0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5" customHeight="1" x14ac:dyDescent="0.2">
      <c r="A53" s="14">
        <v>2</v>
      </c>
      <c r="B53" s="15" t="s">
        <v>180</v>
      </c>
      <c r="C53" s="14" t="s">
        <v>87</v>
      </c>
      <c r="D53" s="27" t="s">
        <v>91</v>
      </c>
      <c r="E53" s="27" t="s">
        <v>167</v>
      </c>
      <c r="F53" s="28">
        <v>10400</v>
      </c>
      <c r="G53" s="28">
        <v>0</v>
      </c>
      <c r="H53" s="39">
        <f t="shared" ref="H53:H54" si="3">G53/F53</f>
        <v>0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5" customHeight="1" x14ac:dyDescent="0.2">
      <c r="A54" s="14">
        <v>3</v>
      </c>
      <c r="B54" s="15" t="s">
        <v>181</v>
      </c>
      <c r="C54" s="14" t="s">
        <v>87</v>
      </c>
      <c r="D54" s="27" t="s">
        <v>91</v>
      </c>
      <c r="E54" s="27" t="s">
        <v>167</v>
      </c>
      <c r="F54" s="28">
        <v>10400</v>
      </c>
      <c r="G54" s="28">
        <v>0</v>
      </c>
      <c r="H54" s="39">
        <f t="shared" si="3"/>
        <v>0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8" spans="1:19" s="1" customFormat="1" ht="20" customHeight="1" x14ac:dyDescent="0.2">
      <c r="A58" s="103" t="s">
        <v>0</v>
      </c>
      <c r="B58" s="104"/>
      <c r="C58" s="104"/>
      <c r="D58" s="104"/>
      <c r="E58" s="104"/>
      <c r="F58" s="104"/>
      <c r="G58" s="104"/>
      <c r="H58" s="104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5" t="s">
        <v>60</v>
      </c>
      <c r="B59" s="106"/>
      <c r="C59" s="106"/>
      <c r="D59" s="106"/>
      <c r="E59" s="106"/>
      <c r="F59" s="106"/>
      <c r="G59" s="106"/>
      <c r="H59" s="10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20" customHeight="1" x14ac:dyDescent="0.2">
      <c r="A60" s="107" t="s">
        <v>164</v>
      </c>
      <c r="B60" s="108"/>
      <c r="C60" s="108"/>
      <c r="D60" s="108"/>
      <c r="E60" s="108"/>
      <c r="F60" s="108"/>
      <c r="G60" s="108"/>
      <c r="H60" s="108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9"/>
      <c r="B61" s="109"/>
      <c r="C61" s="109"/>
      <c r="D61" s="109"/>
      <c r="E61" s="109"/>
      <c r="F61" s="109"/>
      <c r="G61" s="109"/>
      <c r="H61" s="10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10" t="s">
        <v>62</v>
      </c>
      <c r="B62" s="111"/>
      <c r="C62" s="111"/>
      <c r="D62" s="111"/>
      <c r="E62" s="111"/>
      <c r="F62" s="111"/>
      <c r="G62" s="111"/>
      <c r="H62" s="111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2" t="s">
        <v>63</v>
      </c>
      <c r="B63" s="102"/>
      <c r="C63" s="102"/>
      <c r="D63" s="102"/>
      <c r="E63" s="102"/>
      <c r="F63" s="102"/>
      <c r="G63" s="102"/>
      <c r="H63" s="102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66</v>
      </c>
      <c r="D65" s="12" t="s">
        <v>67</v>
      </c>
      <c r="E65" s="11" t="s">
        <v>68</v>
      </c>
      <c r="F65" s="11" t="s">
        <v>69</v>
      </c>
      <c r="G65" s="12" t="s">
        <v>70</v>
      </c>
      <c r="H65" s="11" t="s">
        <v>57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12" t="s">
        <v>182</v>
      </c>
      <c r="B66" s="113"/>
      <c r="C66" s="113"/>
      <c r="D66" s="113"/>
      <c r="E66" s="113"/>
      <c r="F66" s="113"/>
      <c r="G66" s="113"/>
      <c r="H66" s="114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5" customFormat="1" ht="30" customHeight="1" x14ac:dyDescent="0.2">
      <c r="A67" s="14">
        <v>1</v>
      </c>
      <c r="B67" s="15" t="s">
        <v>386</v>
      </c>
      <c r="C67" s="14" t="s">
        <v>141</v>
      </c>
      <c r="D67" s="14"/>
      <c r="E67" s="16" t="s">
        <v>73</v>
      </c>
      <c r="F67" s="28" t="s">
        <v>154</v>
      </c>
      <c r="G67" s="28" t="s">
        <v>154</v>
      </c>
      <c r="H67" s="39" t="s">
        <v>154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5" customFormat="1" ht="30" customHeight="1" x14ac:dyDescent="0.2">
      <c r="A68" s="14">
        <v>2</v>
      </c>
      <c r="B68" s="15" t="s">
        <v>387</v>
      </c>
      <c r="C68" s="14" t="s">
        <v>141</v>
      </c>
      <c r="D68" s="14" t="s">
        <v>141</v>
      </c>
      <c r="E68" s="16" t="s">
        <v>73</v>
      </c>
      <c r="F68" s="124">
        <v>6000</v>
      </c>
      <c r="G68" s="124">
        <v>5475</v>
      </c>
      <c r="H68" s="127">
        <f t="shared" ref="H68" si="4">G68/F68</f>
        <v>0.91249999999999998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30" customHeight="1" x14ac:dyDescent="0.2">
      <c r="A69" s="14">
        <v>3</v>
      </c>
      <c r="B69" s="15" t="s">
        <v>388</v>
      </c>
      <c r="C69" s="14" t="s">
        <v>72</v>
      </c>
      <c r="D69" s="14" t="s">
        <v>72</v>
      </c>
      <c r="E69" s="16" t="s">
        <v>73</v>
      </c>
      <c r="F69" s="125"/>
      <c r="G69" s="125"/>
      <c r="H69" s="128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0" customHeight="1" x14ac:dyDescent="0.2">
      <c r="A70" s="14">
        <v>4</v>
      </c>
      <c r="B70" s="15" t="s">
        <v>389</v>
      </c>
      <c r="C70" s="14" t="s">
        <v>72</v>
      </c>
      <c r="D70" s="14" t="s">
        <v>72</v>
      </c>
      <c r="E70" s="16" t="s">
        <v>73</v>
      </c>
      <c r="F70" s="126"/>
      <c r="G70" s="126"/>
      <c r="H70" s="129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5" customFormat="1" ht="30" customHeight="1" x14ac:dyDescent="0.2">
      <c r="A71" s="14">
        <v>5</v>
      </c>
      <c r="B71" s="15" t="s">
        <v>183</v>
      </c>
      <c r="C71" s="14" t="s">
        <v>81</v>
      </c>
      <c r="D71" s="14" t="s">
        <v>81</v>
      </c>
      <c r="E71" s="16" t="s">
        <v>73</v>
      </c>
      <c r="F71" s="28">
        <v>2500</v>
      </c>
      <c r="G71" s="28">
        <v>2000</v>
      </c>
      <c r="H71" s="39">
        <f>G71/F71</f>
        <v>0.8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30" customHeight="1" x14ac:dyDescent="0.2">
      <c r="A72" s="14">
        <v>6</v>
      </c>
      <c r="B72" s="15" t="s">
        <v>184</v>
      </c>
      <c r="C72" s="14" t="s">
        <v>84</v>
      </c>
      <c r="D72" s="14" t="s">
        <v>81</v>
      </c>
      <c r="E72" s="16" t="s">
        <v>73</v>
      </c>
      <c r="F72" s="28">
        <v>2500</v>
      </c>
      <c r="G72" s="28">
        <v>2250</v>
      </c>
      <c r="H72" s="39">
        <f t="shared" ref="H72:H73" si="5">G72/F72</f>
        <v>0.9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0" customHeight="1" x14ac:dyDescent="0.2">
      <c r="A73" s="14">
        <v>7</v>
      </c>
      <c r="B73" s="15" t="s">
        <v>185</v>
      </c>
      <c r="C73" s="14" t="s">
        <v>84</v>
      </c>
      <c r="D73" s="14" t="s">
        <v>81</v>
      </c>
      <c r="E73" s="16" t="s">
        <v>73</v>
      </c>
      <c r="F73" s="28">
        <v>2500</v>
      </c>
      <c r="G73" s="28">
        <v>1500</v>
      </c>
      <c r="H73" s="39">
        <f t="shared" si="5"/>
        <v>0.6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30" customHeight="1" x14ac:dyDescent="0.2">
      <c r="A74" s="14">
        <v>8</v>
      </c>
      <c r="B74" s="15" t="s">
        <v>186</v>
      </c>
      <c r="C74" s="14" t="s">
        <v>87</v>
      </c>
      <c r="D74" s="14" t="s">
        <v>87</v>
      </c>
      <c r="E74" s="16" t="s">
        <v>73</v>
      </c>
      <c r="F74" s="28">
        <v>2500</v>
      </c>
      <c r="G74" s="130" t="s">
        <v>187</v>
      </c>
      <c r="H74" s="131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5" customFormat="1" ht="30" customHeight="1" x14ac:dyDescent="0.2">
      <c r="A75" s="14">
        <v>9</v>
      </c>
      <c r="B75" s="15" t="s">
        <v>188</v>
      </c>
      <c r="C75" s="14" t="s">
        <v>87</v>
      </c>
      <c r="D75" s="27" t="s">
        <v>91</v>
      </c>
      <c r="E75" s="20" t="s">
        <v>89</v>
      </c>
      <c r="F75" s="28">
        <v>2500</v>
      </c>
      <c r="G75" s="28">
        <v>0</v>
      </c>
      <c r="H75" s="39">
        <f t="shared" ref="H75:H76" si="6">G75/F75</f>
        <v>0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spans="1:19" s="5" customFormat="1" ht="30" customHeight="1" x14ac:dyDescent="0.2">
      <c r="A76" s="14">
        <v>10</v>
      </c>
      <c r="B76" s="15" t="s">
        <v>189</v>
      </c>
      <c r="C76" s="14" t="s">
        <v>91</v>
      </c>
      <c r="D76" s="20" t="s">
        <v>91</v>
      </c>
      <c r="E76" s="20" t="s">
        <v>89</v>
      </c>
      <c r="F76" s="28">
        <v>2500</v>
      </c>
      <c r="G76" s="28">
        <v>0</v>
      </c>
      <c r="H76" s="39">
        <f t="shared" si="6"/>
        <v>0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3" customFormat="1" ht="24" customHeight="1" x14ac:dyDescent="0.2">
      <c r="A77" s="112" t="s">
        <v>190</v>
      </c>
      <c r="B77" s="113"/>
      <c r="C77" s="113"/>
      <c r="D77" s="113"/>
      <c r="E77" s="113"/>
      <c r="F77" s="113"/>
      <c r="G77" s="113"/>
      <c r="H77" s="114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</row>
    <row r="78" spans="1:19" s="5" customFormat="1" ht="30" customHeight="1" x14ac:dyDescent="0.2">
      <c r="A78" s="14">
        <v>1</v>
      </c>
      <c r="B78" s="15" t="s">
        <v>386</v>
      </c>
      <c r="C78" s="14" t="s">
        <v>141</v>
      </c>
      <c r="D78" s="14"/>
      <c r="E78" s="16" t="s">
        <v>73</v>
      </c>
      <c r="F78" s="28" t="s">
        <v>154</v>
      </c>
      <c r="G78" s="28" t="s">
        <v>154</v>
      </c>
      <c r="H78" s="39" t="s">
        <v>154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5" customFormat="1" ht="30" customHeight="1" x14ac:dyDescent="0.2">
      <c r="A79" s="14">
        <v>2</v>
      </c>
      <c r="B79" s="15" t="s">
        <v>387</v>
      </c>
      <c r="C79" s="14" t="s">
        <v>141</v>
      </c>
      <c r="D79" s="14" t="s">
        <v>141</v>
      </c>
      <c r="E79" s="16" t="s">
        <v>73</v>
      </c>
      <c r="F79" s="124">
        <v>6000</v>
      </c>
      <c r="G79" s="124">
        <v>5475</v>
      </c>
      <c r="H79" s="127">
        <f t="shared" ref="H79" si="7">G79/F79</f>
        <v>0.91249999999999998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30" customHeight="1" x14ac:dyDescent="0.2">
      <c r="A80" s="14">
        <v>3</v>
      </c>
      <c r="B80" s="15" t="s">
        <v>388</v>
      </c>
      <c r="C80" s="14" t="s">
        <v>72</v>
      </c>
      <c r="D80" s="14" t="s">
        <v>72</v>
      </c>
      <c r="E80" s="16" t="s">
        <v>73</v>
      </c>
      <c r="F80" s="125"/>
      <c r="G80" s="125"/>
      <c r="H80" s="128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30" customHeight="1" x14ac:dyDescent="0.2">
      <c r="A81" s="14">
        <v>4</v>
      </c>
      <c r="B81" s="15" t="s">
        <v>389</v>
      </c>
      <c r="C81" s="14" t="s">
        <v>72</v>
      </c>
      <c r="D81" s="14" t="s">
        <v>72</v>
      </c>
      <c r="E81" s="16" t="s">
        <v>73</v>
      </c>
      <c r="F81" s="126"/>
      <c r="G81" s="126"/>
      <c r="H81" s="129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30" customHeight="1" x14ac:dyDescent="0.2">
      <c r="A82" s="14">
        <v>5</v>
      </c>
      <c r="B82" s="15" t="s">
        <v>183</v>
      </c>
      <c r="C82" s="14" t="s">
        <v>81</v>
      </c>
      <c r="D82" s="14" t="s">
        <v>81</v>
      </c>
      <c r="E82" s="16" t="s">
        <v>73</v>
      </c>
      <c r="F82" s="28">
        <v>2500</v>
      </c>
      <c r="G82" s="28">
        <v>2000</v>
      </c>
      <c r="H82" s="39">
        <f>G82/F82</f>
        <v>0.8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30" customHeight="1" x14ac:dyDescent="0.2">
      <c r="A83" s="14">
        <v>6</v>
      </c>
      <c r="B83" s="15" t="s">
        <v>184</v>
      </c>
      <c r="C83" s="14" t="s">
        <v>84</v>
      </c>
      <c r="D83" s="14" t="s">
        <v>81</v>
      </c>
      <c r="E83" s="16" t="s">
        <v>73</v>
      </c>
      <c r="F83" s="28">
        <v>2500</v>
      </c>
      <c r="G83" s="28">
        <v>2250</v>
      </c>
      <c r="H83" s="39">
        <f t="shared" ref="H83:H84" si="8">G83/F83</f>
        <v>0.9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30" customHeight="1" x14ac:dyDescent="0.2">
      <c r="A84" s="14">
        <v>7</v>
      </c>
      <c r="B84" s="15" t="s">
        <v>185</v>
      </c>
      <c r="C84" s="14" t="s">
        <v>84</v>
      </c>
      <c r="D84" s="14" t="s">
        <v>81</v>
      </c>
      <c r="E84" s="16" t="s">
        <v>73</v>
      </c>
      <c r="F84" s="28">
        <v>2500</v>
      </c>
      <c r="G84" s="28">
        <v>1500</v>
      </c>
      <c r="H84" s="39">
        <f t="shared" si="8"/>
        <v>0.6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30" customHeight="1" x14ac:dyDescent="0.2">
      <c r="A85" s="14">
        <v>8</v>
      </c>
      <c r="B85" s="15" t="s">
        <v>186</v>
      </c>
      <c r="C85" s="14" t="s">
        <v>87</v>
      </c>
      <c r="D85" s="14" t="s">
        <v>87</v>
      </c>
      <c r="E85" s="16" t="s">
        <v>73</v>
      </c>
      <c r="F85" s="28">
        <v>2500</v>
      </c>
      <c r="G85" s="130" t="s">
        <v>187</v>
      </c>
      <c r="H85" s="131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30" customHeight="1" x14ac:dyDescent="0.2">
      <c r="A86" s="14">
        <v>9</v>
      </c>
      <c r="B86" s="15" t="s">
        <v>188</v>
      </c>
      <c r="C86" s="14" t="s">
        <v>87</v>
      </c>
      <c r="D86" s="27" t="s">
        <v>91</v>
      </c>
      <c r="E86" s="20" t="s">
        <v>89</v>
      </c>
      <c r="F86" s="28">
        <v>2500</v>
      </c>
      <c r="G86" s="28">
        <v>0</v>
      </c>
      <c r="H86" s="39">
        <f t="shared" ref="H86:H87" si="9">G86/F86</f>
        <v>0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s="5" customFormat="1" ht="30" customHeight="1" x14ac:dyDescent="0.2">
      <c r="A87" s="14">
        <v>10</v>
      </c>
      <c r="B87" s="15" t="s">
        <v>189</v>
      </c>
      <c r="C87" s="14" t="s">
        <v>91</v>
      </c>
      <c r="D87" s="20" t="s">
        <v>91</v>
      </c>
      <c r="E87" s="20" t="s">
        <v>89</v>
      </c>
      <c r="F87" s="28">
        <v>2500</v>
      </c>
      <c r="G87" s="28">
        <v>0</v>
      </c>
      <c r="H87" s="39">
        <f t="shared" si="9"/>
        <v>0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</row>
    <row r="88" spans="1:19" s="3" customFormat="1" ht="24" customHeight="1" x14ac:dyDescent="0.2">
      <c r="A88" s="112" t="s">
        <v>191</v>
      </c>
      <c r="B88" s="113"/>
      <c r="C88" s="113"/>
      <c r="D88" s="113"/>
      <c r="E88" s="113"/>
      <c r="F88" s="113"/>
      <c r="G88" s="113"/>
      <c r="H88" s="114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</row>
    <row r="89" spans="1:19" s="5" customFormat="1" ht="30" customHeight="1" x14ac:dyDescent="0.2">
      <c r="A89" s="14">
        <v>1</v>
      </c>
      <c r="B89" s="15" t="s">
        <v>386</v>
      </c>
      <c r="C89" s="14" t="s">
        <v>141</v>
      </c>
      <c r="D89" s="14"/>
      <c r="E89" s="16" t="s">
        <v>73</v>
      </c>
      <c r="F89" s="28" t="s">
        <v>154</v>
      </c>
      <c r="G89" s="28" t="s">
        <v>154</v>
      </c>
      <c r="H89" s="39" t="s">
        <v>154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s="5" customFormat="1" ht="30" customHeight="1" x14ac:dyDescent="0.2">
      <c r="A90" s="14">
        <v>2</v>
      </c>
      <c r="B90" s="15" t="s">
        <v>387</v>
      </c>
      <c r="C90" s="14" t="s">
        <v>141</v>
      </c>
      <c r="D90" s="14" t="s">
        <v>141</v>
      </c>
      <c r="E90" s="16" t="s">
        <v>73</v>
      </c>
      <c r="F90" s="124">
        <v>6000</v>
      </c>
      <c r="G90" s="124">
        <v>5475</v>
      </c>
      <c r="H90" s="127">
        <f t="shared" ref="H90" si="10">G90/F90</f>
        <v>0.91249999999999998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s="5" customFormat="1" ht="30" customHeight="1" x14ac:dyDescent="0.2">
      <c r="A91" s="14">
        <v>3</v>
      </c>
      <c r="B91" s="15" t="s">
        <v>388</v>
      </c>
      <c r="C91" s="14" t="s">
        <v>72</v>
      </c>
      <c r="D91" s="14" t="s">
        <v>72</v>
      </c>
      <c r="E91" s="16" t="s">
        <v>73</v>
      </c>
      <c r="F91" s="125"/>
      <c r="G91" s="125"/>
      <c r="H91" s="128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5" customFormat="1" ht="30" customHeight="1" x14ac:dyDescent="0.2">
      <c r="A92" s="14">
        <v>4</v>
      </c>
      <c r="B92" s="15" t="s">
        <v>389</v>
      </c>
      <c r="C92" s="14" t="s">
        <v>72</v>
      </c>
      <c r="D92" s="14" t="s">
        <v>72</v>
      </c>
      <c r="E92" s="16" t="s">
        <v>73</v>
      </c>
      <c r="F92" s="126"/>
      <c r="G92" s="126"/>
      <c r="H92" s="129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s="5" customFormat="1" ht="30" customHeight="1" x14ac:dyDescent="0.2">
      <c r="A93" s="14">
        <v>5</v>
      </c>
      <c r="B93" s="15" t="s">
        <v>183</v>
      </c>
      <c r="C93" s="14" t="s">
        <v>81</v>
      </c>
      <c r="D93" s="14" t="s">
        <v>81</v>
      </c>
      <c r="E93" s="16" t="s">
        <v>73</v>
      </c>
      <c r="F93" s="28">
        <v>2500</v>
      </c>
      <c r="G93" s="28">
        <v>2000</v>
      </c>
      <c r="H93" s="39">
        <f>G93/F93</f>
        <v>0.8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14">
        <v>6</v>
      </c>
      <c r="B94" s="15" t="s">
        <v>184</v>
      </c>
      <c r="C94" s="14" t="s">
        <v>84</v>
      </c>
      <c r="D94" s="14" t="s">
        <v>81</v>
      </c>
      <c r="E94" s="16" t="s">
        <v>73</v>
      </c>
      <c r="F94" s="28">
        <v>2500</v>
      </c>
      <c r="G94" s="28">
        <v>2250</v>
      </c>
      <c r="H94" s="39">
        <f t="shared" ref="H94:H95" si="11">G94/F94</f>
        <v>0.9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14">
        <v>7</v>
      </c>
      <c r="B95" s="15" t="s">
        <v>185</v>
      </c>
      <c r="C95" s="14" t="s">
        <v>84</v>
      </c>
      <c r="D95" s="14" t="s">
        <v>81</v>
      </c>
      <c r="E95" s="16" t="s">
        <v>73</v>
      </c>
      <c r="F95" s="28">
        <v>2500</v>
      </c>
      <c r="G95" s="28">
        <v>1500</v>
      </c>
      <c r="H95" s="39">
        <f t="shared" si="11"/>
        <v>0.6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s="5" customFormat="1" ht="30" customHeight="1" x14ac:dyDescent="0.2">
      <c r="A96" s="14">
        <v>8</v>
      </c>
      <c r="B96" s="15" t="s">
        <v>186</v>
      </c>
      <c r="C96" s="14" t="s">
        <v>87</v>
      </c>
      <c r="D96" s="14" t="s">
        <v>87</v>
      </c>
      <c r="E96" s="16" t="s">
        <v>73</v>
      </c>
      <c r="F96" s="28">
        <v>2500</v>
      </c>
      <c r="G96" s="130" t="s">
        <v>187</v>
      </c>
      <c r="H96" s="131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</row>
    <row r="97" spans="1:19" s="5" customFormat="1" ht="30" customHeight="1" x14ac:dyDescent="0.2">
      <c r="A97" s="14">
        <v>9</v>
      </c>
      <c r="B97" s="15" t="s">
        <v>188</v>
      </c>
      <c r="C97" s="14" t="s">
        <v>87</v>
      </c>
      <c r="D97" s="27" t="s">
        <v>91</v>
      </c>
      <c r="E97" s="20" t="s">
        <v>89</v>
      </c>
      <c r="F97" s="28">
        <v>2500</v>
      </c>
      <c r="G97" s="28">
        <v>0</v>
      </c>
      <c r="H97" s="39">
        <f t="shared" ref="H97:H98" si="12">G97/F97</f>
        <v>0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</row>
    <row r="98" spans="1:19" s="5" customFormat="1" ht="30" customHeight="1" x14ac:dyDescent="0.2">
      <c r="A98" s="14">
        <v>10</v>
      </c>
      <c r="B98" s="15" t="s">
        <v>189</v>
      </c>
      <c r="C98" s="14" t="s">
        <v>91</v>
      </c>
      <c r="D98" s="20" t="s">
        <v>91</v>
      </c>
      <c r="E98" s="20" t="s">
        <v>89</v>
      </c>
      <c r="F98" s="28">
        <v>2500</v>
      </c>
      <c r="G98" s="28">
        <v>0</v>
      </c>
      <c r="H98" s="39">
        <f t="shared" si="12"/>
        <v>0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spans="1:19" s="1" customFormat="1" ht="20" customHeight="1" x14ac:dyDescent="0.2">
      <c r="A99" s="103" t="s">
        <v>0</v>
      </c>
      <c r="B99" s="104"/>
      <c r="C99" s="104"/>
      <c r="D99" s="104"/>
      <c r="E99" s="104"/>
      <c r="F99" s="104"/>
      <c r="G99" s="104"/>
      <c r="H99" s="104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19" s="1" customFormat="1" ht="20" customHeight="1" x14ac:dyDescent="0.2">
      <c r="A100" s="105" t="s">
        <v>192</v>
      </c>
      <c r="B100" s="106"/>
      <c r="C100" s="106"/>
      <c r="D100" s="106"/>
      <c r="E100" s="106"/>
      <c r="F100" s="106"/>
      <c r="G100" s="106"/>
      <c r="H100" s="10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19" s="1" customFormat="1" ht="43" customHeight="1" x14ac:dyDescent="0.2">
      <c r="A101" s="109" t="s">
        <v>193</v>
      </c>
      <c r="B101" s="108"/>
      <c r="C101" s="108"/>
      <c r="D101" s="108"/>
      <c r="E101" s="108"/>
      <c r="F101" s="108"/>
      <c r="G101" s="108"/>
      <c r="H101" s="108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</row>
    <row r="102" spans="1:19" ht="2" customHeight="1" x14ac:dyDescent="0.2">
      <c r="A102" s="109"/>
      <c r="B102" s="109"/>
      <c r="C102" s="109"/>
      <c r="D102" s="109"/>
      <c r="E102" s="109"/>
      <c r="F102" s="109"/>
      <c r="G102" s="109"/>
      <c r="H102" s="109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s="2" customFormat="1" ht="20" customHeight="1" x14ac:dyDescent="0.2">
      <c r="A103" s="110" t="s">
        <v>93</v>
      </c>
      <c r="B103" s="111"/>
      <c r="C103" s="111"/>
      <c r="D103" s="111"/>
      <c r="E103" s="111"/>
      <c r="F103" s="111"/>
      <c r="G103" s="111"/>
      <c r="H103" s="111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19" s="2" customFormat="1" ht="20" customHeight="1" x14ac:dyDescent="0.2">
      <c r="A104" s="102" t="s">
        <v>94</v>
      </c>
      <c r="B104" s="102"/>
      <c r="C104" s="102"/>
      <c r="D104" s="102"/>
      <c r="E104" s="102"/>
      <c r="F104" s="102"/>
      <c r="G104" s="102"/>
      <c r="H104" s="102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19" s="2" customFormat="1" ht="6" customHeight="1" x14ac:dyDescent="0.2">
      <c r="A105" s="8"/>
      <c r="B105" s="9"/>
      <c r="C105" s="9"/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spans="1:19" s="3" customFormat="1" ht="24" customHeight="1" x14ac:dyDescent="0.2">
      <c r="A106" s="11" t="s">
        <v>64</v>
      </c>
      <c r="B106" s="12" t="s">
        <v>65</v>
      </c>
      <c r="C106" s="11" t="s">
        <v>95</v>
      </c>
      <c r="D106" s="12" t="s">
        <v>96</v>
      </c>
      <c r="E106" s="11" t="s">
        <v>97</v>
      </c>
      <c r="F106" s="11" t="s">
        <v>98</v>
      </c>
      <c r="G106" s="12" t="s">
        <v>99</v>
      </c>
      <c r="H106" s="11" t="s">
        <v>100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</row>
    <row r="107" spans="1:19" s="3" customFormat="1" ht="24" customHeight="1" x14ac:dyDescent="0.2">
      <c r="A107" s="112" t="s">
        <v>385</v>
      </c>
      <c r="B107" s="113"/>
      <c r="C107" s="113"/>
      <c r="D107" s="113"/>
      <c r="E107" s="113"/>
      <c r="F107" s="113"/>
      <c r="G107" s="113"/>
      <c r="H107" s="114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</row>
    <row r="108" spans="1:19" s="5" customFormat="1" ht="35" customHeight="1" x14ac:dyDescent="0.2">
      <c r="A108" s="14">
        <v>1</v>
      </c>
      <c r="B108" s="15" t="s">
        <v>173</v>
      </c>
      <c r="C108" s="16" t="s">
        <v>102</v>
      </c>
      <c r="D108" s="16" t="s">
        <v>102</v>
      </c>
      <c r="E108" s="14" t="s">
        <v>101</v>
      </c>
      <c r="F108" s="16" t="s">
        <v>102</v>
      </c>
      <c r="G108" s="16" t="s">
        <v>102</v>
      </c>
      <c r="H108" s="16" t="s">
        <v>102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</row>
    <row r="109" spans="1:19" s="5" customFormat="1" ht="35" customHeight="1" x14ac:dyDescent="0.2">
      <c r="A109" s="14">
        <v>2</v>
      </c>
      <c r="B109" s="15" t="s">
        <v>174</v>
      </c>
      <c r="C109" s="16" t="s">
        <v>102</v>
      </c>
      <c r="D109" s="16" t="s">
        <v>102</v>
      </c>
      <c r="E109" s="14" t="s">
        <v>101</v>
      </c>
      <c r="F109" s="16" t="s">
        <v>102</v>
      </c>
      <c r="G109" s="16" t="s">
        <v>102</v>
      </c>
      <c r="H109" s="16" t="s">
        <v>102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</row>
    <row r="110" spans="1:19" s="5" customFormat="1" ht="35" customHeight="1" x14ac:dyDescent="0.2">
      <c r="A110" s="14">
        <v>3</v>
      </c>
      <c r="B110" s="15" t="s">
        <v>175</v>
      </c>
      <c r="C110" s="16" t="s">
        <v>102</v>
      </c>
      <c r="D110" s="16" t="s">
        <v>102</v>
      </c>
      <c r="E110" s="14" t="s">
        <v>101</v>
      </c>
      <c r="F110" s="16" t="s">
        <v>102</v>
      </c>
      <c r="G110" s="16" t="s">
        <v>102</v>
      </c>
      <c r="H110" s="16" t="s">
        <v>102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</row>
    <row r="111" spans="1:19" s="5" customFormat="1" ht="35" customHeight="1" x14ac:dyDescent="0.2">
      <c r="A111" s="14">
        <v>4</v>
      </c>
      <c r="B111" s="15" t="s">
        <v>176</v>
      </c>
      <c r="C111" s="16" t="s">
        <v>102</v>
      </c>
      <c r="D111" s="16" t="s">
        <v>102</v>
      </c>
      <c r="E111" s="14" t="s">
        <v>101</v>
      </c>
      <c r="F111" s="16" t="s">
        <v>102</v>
      </c>
      <c r="G111" s="16" t="s">
        <v>102</v>
      </c>
      <c r="H111" s="16" t="s">
        <v>102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</row>
    <row r="112" spans="1:19" s="3" customFormat="1" ht="24" customHeight="1" x14ac:dyDescent="0.2">
      <c r="A112" s="112" t="s">
        <v>165</v>
      </c>
      <c r="B112" s="113"/>
      <c r="C112" s="113"/>
      <c r="D112" s="113"/>
      <c r="E112" s="113"/>
      <c r="F112" s="113"/>
      <c r="G112" s="113"/>
      <c r="H112" s="114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</row>
    <row r="113" spans="1:19" s="5" customFormat="1" ht="35" customHeight="1" x14ac:dyDescent="0.2">
      <c r="A113" s="14">
        <v>1</v>
      </c>
      <c r="B113" s="15" t="s">
        <v>166</v>
      </c>
      <c r="C113" s="27" t="s">
        <v>194</v>
      </c>
      <c r="D113" s="27" t="s">
        <v>194</v>
      </c>
      <c r="E113" s="14" t="s">
        <v>103</v>
      </c>
      <c r="F113" s="14" t="s">
        <v>103</v>
      </c>
      <c r="G113" s="14" t="s">
        <v>103</v>
      </c>
      <c r="H113" s="16" t="s">
        <v>102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</row>
    <row r="114" spans="1:19" s="5" customFormat="1" ht="35" customHeight="1" x14ac:dyDescent="0.2">
      <c r="A114" s="14">
        <v>2</v>
      </c>
      <c r="B114" s="15" t="s">
        <v>168</v>
      </c>
      <c r="C114" s="27" t="s">
        <v>194</v>
      </c>
      <c r="D114" s="27" t="s">
        <v>194</v>
      </c>
      <c r="E114" s="14" t="s">
        <v>103</v>
      </c>
      <c r="F114" s="14" t="s">
        <v>103</v>
      </c>
      <c r="G114" s="14" t="s">
        <v>103</v>
      </c>
      <c r="H114" s="16" t="s">
        <v>102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</row>
    <row r="115" spans="1:19" s="5" customFormat="1" ht="35" customHeight="1" x14ac:dyDescent="0.2">
      <c r="A115" s="14">
        <v>3</v>
      </c>
      <c r="B115" s="15" t="s">
        <v>169</v>
      </c>
      <c r="C115" s="27" t="s">
        <v>194</v>
      </c>
      <c r="D115" s="27" t="s">
        <v>194</v>
      </c>
      <c r="E115" s="14" t="s">
        <v>103</v>
      </c>
      <c r="F115" s="14" t="s">
        <v>103</v>
      </c>
      <c r="G115" s="14" t="s">
        <v>103</v>
      </c>
      <c r="H115" s="16" t="s">
        <v>102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</row>
    <row r="116" spans="1:19" s="5" customFormat="1" ht="35" customHeight="1" x14ac:dyDescent="0.2">
      <c r="A116" s="14">
        <v>4</v>
      </c>
      <c r="B116" s="15" t="s">
        <v>170</v>
      </c>
      <c r="C116" s="27" t="s">
        <v>194</v>
      </c>
      <c r="D116" s="27" t="s">
        <v>194</v>
      </c>
      <c r="E116" s="14" t="s">
        <v>103</v>
      </c>
      <c r="F116" s="14" t="s">
        <v>103</v>
      </c>
      <c r="G116" s="14" t="s">
        <v>103</v>
      </c>
      <c r="H116" s="16" t="s">
        <v>102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</row>
    <row r="117" spans="1:19" s="5" customFormat="1" ht="35" customHeight="1" x14ac:dyDescent="0.2">
      <c r="A117" s="14">
        <v>5</v>
      </c>
      <c r="B117" s="15" t="s">
        <v>171</v>
      </c>
      <c r="C117" s="27" t="s">
        <v>194</v>
      </c>
      <c r="D117" s="27" t="s">
        <v>194</v>
      </c>
      <c r="E117" s="14" t="s">
        <v>103</v>
      </c>
      <c r="F117" s="14" t="s">
        <v>103</v>
      </c>
      <c r="G117" s="14" t="s">
        <v>103</v>
      </c>
      <c r="H117" s="16" t="s">
        <v>102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</row>
    <row r="118" spans="1:19" s="3" customFormat="1" ht="24" customHeight="1" x14ac:dyDescent="0.2">
      <c r="A118" s="112" t="s">
        <v>172</v>
      </c>
      <c r="B118" s="113"/>
      <c r="C118" s="113"/>
      <c r="D118" s="113"/>
      <c r="E118" s="113"/>
      <c r="F118" s="113"/>
      <c r="G118" s="113"/>
      <c r="H118" s="114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</row>
    <row r="119" spans="1:19" s="5" customFormat="1" ht="35" customHeight="1" x14ac:dyDescent="0.2">
      <c r="A119" s="14">
        <v>1</v>
      </c>
      <c r="B119" s="15" t="s">
        <v>173</v>
      </c>
      <c r="C119" s="27" t="s">
        <v>194</v>
      </c>
      <c r="D119" s="27" t="s">
        <v>194</v>
      </c>
      <c r="E119" s="14" t="s">
        <v>103</v>
      </c>
      <c r="F119" s="14" t="s">
        <v>103</v>
      </c>
      <c r="G119" s="14" t="s">
        <v>103</v>
      </c>
      <c r="H119" s="19" t="s">
        <v>155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</row>
    <row r="120" spans="1:19" s="5" customFormat="1" ht="35" customHeight="1" x14ac:dyDescent="0.2">
      <c r="A120" s="14">
        <v>2</v>
      </c>
      <c r="B120" s="15" t="s">
        <v>174</v>
      </c>
      <c r="C120" s="27" t="s">
        <v>194</v>
      </c>
      <c r="D120" s="27" t="s">
        <v>194</v>
      </c>
      <c r="E120" s="14" t="s">
        <v>103</v>
      </c>
      <c r="F120" s="14" t="s">
        <v>103</v>
      </c>
      <c r="G120" s="14" t="s">
        <v>103</v>
      </c>
      <c r="H120" s="19" t="s">
        <v>155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</row>
    <row r="121" spans="1:19" s="5" customFormat="1" ht="35" customHeight="1" x14ac:dyDescent="0.2">
      <c r="A121" s="14">
        <v>3</v>
      </c>
      <c r="B121" s="15" t="s">
        <v>175</v>
      </c>
      <c r="C121" s="27" t="s">
        <v>194</v>
      </c>
      <c r="D121" s="27" t="s">
        <v>194</v>
      </c>
      <c r="E121" s="14" t="s">
        <v>103</v>
      </c>
      <c r="F121" s="14" t="s">
        <v>103</v>
      </c>
      <c r="G121" s="14" t="s">
        <v>103</v>
      </c>
      <c r="H121" s="19" t="s">
        <v>155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</row>
    <row r="122" spans="1:19" s="5" customFormat="1" ht="35" customHeight="1" x14ac:dyDescent="0.2">
      <c r="A122" s="14">
        <v>4</v>
      </c>
      <c r="B122" s="15" t="s">
        <v>176</v>
      </c>
      <c r="C122" s="27" t="s">
        <v>194</v>
      </c>
      <c r="D122" s="27" t="s">
        <v>194</v>
      </c>
      <c r="E122" s="14" t="s">
        <v>103</v>
      </c>
      <c r="F122" s="14" t="s">
        <v>103</v>
      </c>
      <c r="G122" s="14" t="s">
        <v>103</v>
      </c>
      <c r="H122" s="19" t="s">
        <v>155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</row>
    <row r="123" spans="1:19" s="3" customFormat="1" ht="24" customHeight="1" x14ac:dyDescent="0.2">
      <c r="A123" s="112" t="s">
        <v>177</v>
      </c>
      <c r="B123" s="113"/>
      <c r="C123" s="113"/>
      <c r="D123" s="113"/>
      <c r="E123" s="113"/>
      <c r="F123" s="113"/>
      <c r="G123" s="113"/>
      <c r="H123" s="114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</row>
    <row r="124" spans="1:19" s="5" customFormat="1" ht="35" customHeight="1" x14ac:dyDescent="0.2">
      <c r="A124" s="14">
        <v>1</v>
      </c>
      <c r="B124" s="15" t="s">
        <v>168</v>
      </c>
      <c r="C124" s="27" t="s">
        <v>194</v>
      </c>
      <c r="D124" s="27" t="s">
        <v>194</v>
      </c>
      <c r="E124" s="14" t="s">
        <v>103</v>
      </c>
      <c r="F124" s="14" t="s">
        <v>103</v>
      </c>
      <c r="G124" s="14" t="s">
        <v>103</v>
      </c>
      <c r="H124" s="19" t="s">
        <v>155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</row>
    <row r="125" spans="1:19" s="5" customFormat="1" ht="35" customHeight="1" x14ac:dyDescent="0.2">
      <c r="A125" s="14">
        <v>2</v>
      </c>
      <c r="B125" s="15" t="s">
        <v>169</v>
      </c>
      <c r="C125" s="27" t="s">
        <v>194</v>
      </c>
      <c r="D125" s="27" t="s">
        <v>194</v>
      </c>
      <c r="E125" s="14" t="s">
        <v>103</v>
      </c>
      <c r="F125" s="14" t="s">
        <v>103</v>
      </c>
      <c r="G125" s="14" t="s">
        <v>103</v>
      </c>
      <c r="H125" s="19" t="s">
        <v>155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</row>
    <row r="126" spans="1:19" s="5" customFormat="1" ht="35" customHeight="1" x14ac:dyDescent="0.2">
      <c r="A126" s="14">
        <v>3</v>
      </c>
      <c r="B126" s="15" t="s">
        <v>170</v>
      </c>
      <c r="C126" s="27" t="s">
        <v>194</v>
      </c>
      <c r="D126" s="27" t="s">
        <v>194</v>
      </c>
      <c r="E126" s="14" t="s">
        <v>103</v>
      </c>
      <c r="F126" s="14" t="s">
        <v>103</v>
      </c>
      <c r="G126" s="14" t="s">
        <v>103</v>
      </c>
      <c r="H126" s="19" t="s">
        <v>155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</row>
    <row r="127" spans="1:19" s="5" customFormat="1" ht="35" customHeight="1" x14ac:dyDescent="0.2">
      <c r="A127" s="14">
        <v>4</v>
      </c>
      <c r="B127" s="15" t="s">
        <v>171</v>
      </c>
      <c r="C127" s="27" t="s">
        <v>194</v>
      </c>
      <c r="D127" s="27" t="s">
        <v>194</v>
      </c>
      <c r="E127" s="14" t="s">
        <v>103</v>
      </c>
      <c r="F127" s="14" t="s">
        <v>103</v>
      </c>
      <c r="G127" s="14" t="s">
        <v>103</v>
      </c>
      <c r="H127" s="19" t="s">
        <v>155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</row>
    <row r="128" spans="1:19" s="3" customFormat="1" ht="24" customHeight="1" x14ac:dyDescent="0.2">
      <c r="A128" s="112" t="s">
        <v>178</v>
      </c>
      <c r="B128" s="113"/>
      <c r="C128" s="113"/>
      <c r="D128" s="113"/>
      <c r="E128" s="113"/>
      <c r="F128" s="113"/>
      <c r="G128" s="113"/>
      <c r="H128" s="114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</row>
    <row r="129" spans="1:19" s="5" customFormat="1" ht="35" customHeight="1" x14ac:dyDescent="0.2">
      <c r="A129" s="14">
        <v>1</v>
      </c>
      <c r="B129" s="15" t="s">
        <v>179</v>
      </c>
      <c r="C129" s="27" t="s">
        <v>194</v>
      </c>
      <c r="D129" s="27" t="s">
        <v>194</v>
      </c>
      <c r="E129" s="14" t="s">
        <v>103</v>
      </c>
      <c r="F129" s="14" t="s">
        <v>103</v>
      </c>
      <c r="G129" s="14" t="s">
        <v>103</v>
      </c>
      <c r="H129" s="19" t="s">
        <v>155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</row>
    <row r="130" spans="1:19" s="5" customFormat="1" ht="35" customHeight="1" x14ac:dyDescent="0.2">
      <c r="A130" s="14">
        <v>2</v>
      </c>
      <c r="B130" s="15" t="s">
        <v>180</v>
      </c>
      <c r="C130" s="27" t="s">
        <v>194</v>
      </c>
      <c r="D130" s="27" t="s">
        <v>194</v>
      </c>
      <c r="E130" s="14" t="s">
        <v>103</v>
      </c>
      <c r="F130" s="14" t="s">
        <v>103</v>
      </c>
      <c r="G130" s="14" t="s">
        <v>103</v>
      </c>
      <c r="H130" s="19" t="s">
        <v>155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</row>
    <row r="131" spans="1:19" s="5" customFormat="1" ht="35" customHeight="1" x14ac:dyDescent="0.2">
      <c r="A131" s="14">
        <v>3</v>
      </c>
      <c r="B131" s="15" t="s">
        <v>181</v>
      </c>
      <c r="C131" s="27" t="s">
        <v>194</v>
      </c>
      <c r="D131" s="27" t="s">
        <v>194</v>
      </c>
      <c r="E131" s="14" t="s">
        <v>103</v>
      </c>
      <c r="F131" s="14" t="s">
        <v>103</v>
      </c>
      <c r="G131" s="14" t="s">
        <v>103</v>
      </c>
      <c r="H131" s="19" t="s">
        <v>155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</row>
    <row r="132" spans="1:19" s="1" customFormat="1" ht="20" customHeight="1" x14ac:dyDescent="0.2">
      <c r="A132" s="103" t="s">
        <v>0</v>
      </c>
      <c r="B132" s="104"/>
      <c r="C132" s="104"/>
      <c r="D132" s="104"/>
      <c r="E132" s="104"/>
      <c r="F132" s="104"/>
      <c r="G132" s="104"/>
      <c r="H132" s="104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</row>
    <row r="133" spans="1:19" s="1" customFormat="1" ht="20" customHeight="1" x14ac:dyDescent="0.2">
      <c r="A133" s="105" t="s">
        <v>192</v>
      </c>
      <c r="B133" s="106"/>
      <c r="C133" s="106"/>
      <c r="D133" s="106"/>
      <c r="E133" s="106"/>
      <c r="F133" s="106"/>
      <c r="G133" s="106"/>
      <c r="H133" s="10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</row>
    <row r="134" spans="1:19" s="1" customFormat="1" ht="46" customHeight="1" x14ac:dyDescent="0.2">
      <c r="A134" s="109" t="s">
        <v>193</v>
      </c>
      <c r="B134" s="108"/>
      <c r="C134" s="108"/>
      <c r="D134" s="108"/>
      <c r="E134" s="108"/>
      <c r="F134" s="108"/>
      <c r="G134" s="108"/>
      <c r="H134" s="108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</row>
    <row r="135" spans="1:19" ht="17" hidden="1" x14ac:dyDescent="0.2">
      <c r="A135" s="109"/>
      <c r="B135" s="109"/>
      <c r="C135" s="109"/>
      <c r="D135" s="109"/>
      <c r="E135" s="109"/>
      <c r="F135" s="109"/>
      <c r="G135" s="109"/>
      <c r="H135" s="109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s="2" customFormat="1" ht="20" customHeight="1" x14ac:dyDescent="0.2">
      <c r="A136" s="110" t="s">
        <v>93</v>
      </c>
      <c r="B136" s="111"/>
      <c r="C136" s="111"/>
      <c r="D136" s="111"/>
      <c r="E136" s="111"/>
      <c r="F136" s="111"/>
      <c r="G136" s="111"/>
      <c r="H136" s="111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spans="1:19" s="2" customFormat="1" ht="20" customHeight="1" x14ac:dyDescent="0.2">
      <c r="A137" s="102" t="s">
        <v>94</v>
      </c>
      <c r="B137" s="102"/>
      <c r="C137" s="102"/>
      <c r="D137" s="102"/>
      <c r="E137" s="102"/>
      <c r="F137" s="102"/>
      <c r="G137" s="102"/>
      <c r="H137" s="102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spans="1:19" s="2" customFormat="1" ht="2" customHeight="1" x14ac:dyDescent="0.2">
      <c r="A138" s="8"/>
      <c r="B138" s="9"/>
      <c r="C138" s="9"/>
      <c r="D138" s="9"/>
      <c r="E138" s="9"/>
      <c r="F138" s="9"/>
      <c r="G138" s="9"/>
      <c r="H138" s="9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spans="1:19" s="3" customFormat="1" ht="24" customHeight="1" x14ac:dyDescent="0.2">
      <c r="A139" s="11" t="s">
        <v>64</v>
      </c>
      <c r="B139" s="12" t="s">
        <v>65</v>
      </c>
      <c r="C139" s="11" t="s">
        <v>95</v>
      </c>
      <c r="D139" s="12" t="s">
        <v>96</v>
      </c>
      <c r="E139" s="11" t="s">
        <v>97</v>
      </c>
      <c r="F139" s="11" t="s">
        <v>98</v>
      </c>
      <c r="G139" s="12" t="s">
        <v>99</v>
      </c>
      <c r="H139" s="11" t="s">
        <v>100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</row>
    <row r="140" spans="1:19" s="3" customFormat="1" ht="24" customHeight="1" x14ac:dyDescent="0.2">
      <c r="A140" s="112" t="s">
        <v>182</v>
      </c>
      <c r="B140" s="113"/>
      <c r="C140" s="113"/>
      <c r="D140" s="113"/>
      <c r="E140" s="113"/>
      <c r="F140" s="113"/>
      <c r="G140" s="113"/>
      <c r="H140" s="114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</row>
    <row r="141" spans="1:19" s="5" customFormat="1" ht="30" customHeight="1" x14ac:dyDescent="0.2">
      <c r="A141" s="14">
        <v>5</v>
      </c>
      <c r="B141" s="15" t="s">
        <v>183</v>
      </c>
      <c r="C141" s="16" t="s">
        <v>102</v>
      </c>
      <c r="D141" s="16" t="s">
        <v>102</v>
      </c>
      <c r="E141" s="14" t="s">
        <v>101</v>
      </c>
      <c r="F141" s="16" t="s">
        <v>102</v>
      </c>
      <c r="G141" s="16" t="s">
        <v>102</v>
      </c>
      <c r="H141" s="14" t="s">
        <v>101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</row>
    <row r="142" spans="1:19" s="5" customFormat="1" ht="30" customHeight="1" x14ac:dyDescent="0.2">
      <c r="A142" s="14">
        <v>6</v>
      </c>
      <c r="B142" s="15" t="s">
        <v>184</v>
      </c>
      <c r="C142" s="16" t="s">
        <v>102</v>
      </c>
      <c r="D142" s="16" t="s">
        <v>102</v>
      </c>
      <c r="E142" s="14" t="s">
        <v>101</v>
      </c>
      <c r="F142" s="16" t="s">
        <v>102</v>
      </c>
      <c r="G142" s="16" t="s">
        <v>102</v>
      </c>
      <c r="H142" s="16" t="s">
        <v>102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</row>
    <row r="143" spans="1:19" s="5" customFormat="1" ht="30" customHeight="1" x14ac:dyDescent="0.2">
      <c r="A143" s="14">
        <v>7</v>
      </c>
      <c r="B143" s="15" t="s">
        <v>185</v>
      </c>
      <c r="C143" s="16" t="s">
        <v>102</v>
      </c>
      <c r="D143" s="16" t="s">
        <v>102</v>
      </c>
      <c r="E143" s="14" t="s">
        <v>101</v>
      </c>
      <c r="F143" s="16" t="s">
        <v>102</v>
      </c>
      <c r="G143" s="16" t="s">
        <v>102</v>
      </c>
      <c r="H143" s="16" t="s">
        <v>102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</row>
    <row r="144" spans="1:19" s="5" customFormat="1" ht="25" customHeight="1" x14ac:dyDescent="0.2">
      <c r="A144" s="14">
        <v>8</v>
      </c>
      <c r="B144" s="15" t="s">
        <v>186</v>
      </c>
      <c r="C144" s="69" t="s">
        <v>155</v>
      </c>
      <c r="D144" s="69" t="s">
        <v>155</v>
      </c>
      <c r="E144" s="14" t="s">
        <v>103</v>
      </c>
      <c r="F144" s="14" t="s">
        <v>103</v>
      </c>
      <c r="G144" s="14" t="s">
        <v>103</v>
      </c>
      <c r="H144" s="14" t="s">
        <v>101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</row>
    <row r="145" spans="1:19" s="5" customFormat="1" ht="25" customHeight="1" x14ac:dyDescent="0.2">
      <c r="A145" s="14">
        <v>9</v>
      </c>
      <c r="B145" s="15" t="s">
        <v>188</v>
      </c>
      <c r="C145" s="14" t="s">
        <v>103</v>
      </c>
      <c r="D145" s="14" t="s">
        <v>103</v>
      </c>
      <c r="E145" s="14" t="s">
        <v>103</v>
      </c>
      <c r="F145" s="14" t="s">
        <v>103</v>
      </c>
      <c r="G145" s="14" t="s">
        <v>103</v>
      </c>
      <c r="H145" s="14" t="s">
        <v>101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</row>
    <row r="146" spans="1:19" s="5" customFormat="1" ht="30" customHeight="1" x14ac:dyDescent="0.2">
      <c r="A146" s="14">
        <v>10</v>
      </c>
      <c r="B146" s="15" t="s">
        <v>189</v>
      </c>
      <c r="C146" s="14" t="s">
        <v>103</v>
      </c>
      <c r="D146" s="14" t="s">
        <v>103</v>
      </c>
      <c r="E146" s="14" t="s">
        <v>103</v>
      </c>
      <c r="F146" s="14" t="s">
        <v>103</v>
      </c>
      <c r="G146" s="14" t="s">
        <v>103</v>
      </c>
      <c r="H146" s="14" t="s">
        <v>101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</row>
    <row r="147" spans="1:19" s="3" customFormat="1" ht="24" customHeight="1" x14ac:dyDescent="0.2">
      <c r="A147" s="112" t="s">
        <v>190</v>
      </c>
      <c r="B147" s="113"/>
      <c r="C147" s="113"/>
      <c r="D147" s="113"/>
      <c r="E147" s="113"/>
      <c r="F147" s="113"/>
      <c r="G147" s="113"/>
      <c r="H147" s="114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1:19" s="5" customFormat="1" ht="30" customHeight="1" x14ac:dyDescent="0.2">
      <c r="A148" s="14">
        <v>5</v>
      </c>
      <c r="B148" s="15" t="s">
        <v>183</v>
      </c>
      <c r="C148" s="16" t="s">
        <v>102</v>
      </c>
      <c r="D148" s="16" t="s">
        <v>102</v>
      </c>
      <c r="E148" s="14" t="s">
        <v>101</v>
      </c>
      <c r="F148" s="16" t="s">
        <v>102</v>
      </c>
      <c r="G148" s="16" t="s">
        <v>102</v>
      </c>
      <c r="H148" s="14" t="s">
        <v>101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</row>
    <row r="149" spans="1:19" s="5" customFormat="1" ht="30" customHeight="1" x14ac:dyDescent="0.2">
      <c r="A149" s="14">
        <v>6</v>
      </c>
      <c r="B149" s="15" t="s">
        <v>184</v>
      </c>
      <c r="C149" s="16" t="s">
        <v>102</v>
      </c>
      <c r="D149" s="16" t="s">
        <v>102</v>
      </c>
      <c r="E149" s="14" t="s">
        <v>101</v>
      </c>
      <c r="F149" s="16" t="s">
        <v>102</v>
      </c>
      <c r="G149" s="16" t="s">
        <v>102</v>
      </c>
      <c r="H149" s="16" t="s">
        <v>102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</row>
    <row r="150" spans="1:19" s="5" customFormat="1" ht="30" customHeight="1" x14ac:dyDescent="0.2">
      <c r="A150" s="14">
        <v>7</v>
      </c>
      <c r="B150" s="15" t="s">
        <v>185</v>
      </c>
      <c r="C150" s="16" t="s">
        <v>102</v>
      </c>
      <c r="D150" s="16" t="s">
        <v>102</v>
      </c>
      <c r="E150" s="14" t="s">
        <v>101</v>
      </c>
      <c r="F150" s="16" t="s">
        <v>102</v>
      </c>
      <c r="G150" s="16" t="s">
        <v>102</v>
      </c>
      <c r="H150" s="16" t="s">
        <v>102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</row>
    <row r="151" spans="1:19" s="5" customFormat="1" ht="25" customHeight="1" x14ac:dyDescent="0.2">
      <c r="A151" s="14">
        <v>8</v>
      </c>
      <c r="B151" s="15" t="s">
        <v>186</v>
      </c>
      <c r="C151" s="69" t="s">
        <v>155</v>
      </c>
      <c r="D151" s="69" t="s">
        <v>155</v>
      </c>
      <c r="E151" s="14" t="s">
        <v>103</v>
      </c>
      <c r="F151" s="14" t="s">
        <v>103</v>
      </c>
      <c r="G151" s="14" t="s">
        <v>103</v>
      </c>
      <c r="H151" s="14" t="s">
        <v>101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</row>
    <row r="152" spans="1:19" s="5" customFormat="1" ht="25" customHeight="1" x14ac:dyDescent="0.2">
      <c r="A152" s="14">
        <v>9</v>
      </c>
      <c r="B152" s="15" t="s">
        <v>188</v>
      </c>
      <c r="C152" s="14" t="s">
        <v>103</v>
      </c>
      <c r="D152" s="14" t="s">
        <v>103</v>
      </c>
      <c r="E152" s="14" t="s">
        <v>103</v>
      </c>
      <c r="F152" s="14" t="s">
        <v>103</v>
      </c>
      <c r="G152" s="14" t="s">
        <v>103</v>
      </c>
      <c r="H152" s="14" t="s">
        <v>101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</row>
    <row r="153" spans="1:19" s="5" customFormat="1" ht="30" customHeight="1" x14ac:dyDescent="0.2">
      <c r="A153" s="14">
        <v>10</v>
      </c>
      <c r="B153" s="15" t="s">
        <v>189</v>
      </c>
      <c r="C153" s="14" t="s">
        <v>103</v>
      </c>
      <c r="D153" s="14" t="s">
        <v>103</v>
      </c>
      <c r="E153" s="14" t="s">
        <v>103</v>
      </c>
      <c r="F153" s="14" t="s">
        <v>103</v>
      </c>
      <c r="G153" s="14" t="s">
        <v>103</v>
      </c>
      <c r="H153" s="14" t="s">
        <v>101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</row>
    <row r="154" spans="1:19" s="3" customFormat="1" ht="24" customHeight="1" x14ac:dyDescent="0.2">
      <c r="A154" s="112" t="s">
        <v>190</v>
      </c>
      <c r="B154" s="113"/>
      <c r="C154" s="113"/>
      <c r="D154" s="113"/>
      <c r="E154" s="113"/>
      <c r="F154" s="113"/>
      <c r="G154" s="113"/>
      <c r="H154" s="114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</row>
    <row r="155" spans="1:19" s="5" customFormat="1" ht="30" customHeight="1" x14ac:dyDescent="0.2">
      <c r="A155" s="14">
        <v>5</v>
      </c>
      <c r="B155" s="15" t="s">
        <v>183</v>
      </c>
      <c r="C155" s="16" t="s">
        <v>102</v>
      </c>
      <c r="D155" s="16" t="s">
        <v>102</v>
      </c>
      <c r="E155" s="14" t="s">
        <v>101</v>
      </c>
      <c r="F155" s="16" t="s">
        <v>102</v>
      </c>
      <c r="G155" s="16" t="s">
        <v>102</v>
      </c>
      <c r="H155" s="14" t="s">
        <v>101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</row>
    <row r="156" spans="1:19" s="5" customFormat="1" ht="30" customHeight="1" x14ac:dyDescent="0.2">
      <c r="A156" s="14">
        <v>6</v>
      </c>
      <c r="B156" s="15" t="s">
        <v>184</v>
      </c>
      <c r="C156" s="16" t="s">
        <v>102</v>
      </c>
      <c r="D156" s="16" t="s">
        <v>102</v>
      </c>
      <c r="E156" s="14" t="s">
        <v>101</v>
      </c>
      <c r="F156" s="16" t="s">
        <v>102</v>
      </c>
      <c r="G156" s="16" t="s">
        <v>102</v>
      </c>
      <c r="H156" s="16" t="s">
        <v>102</v>
      </c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</row>
    <row r="157" spans="1:19" s="5" customFormat="1" ht="30" customHeight="1" x14ac:dyDescent="0.2">
      <c r="A157" s="14">
        <v>7</v>
      </c>
      <c r="B157" s="15" t="s">
        <v>185</v>
      </c>
      <c r="C157" s="16" t="s">
        <v>102</v>
      </c>
      <c r="D157" s="16" t="s">
        <v>102</v>
      </c>
      <c r="E157" s="14" t="s">
        <v>101</v>
      </c>
      <c r="F157" s="16" t="s">
        <v>102</v>
      </c>
      <c r="G157" s="16" t="s">
        <v>102</v>
      </c>
      <c r="H157" s="16" t="s">
        <v>102</v>
      </c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</row>
    <row r="158" spans="1:19" s="5" customFormat="1" ht="25" customHeight="1" x14ac:dyDescent="0.2">
      <c r="A158" s="14">
        <v>8</v>
      </c>
      <c r="B158" s="15" t="s">
        <v>186</v>
      </c>
      <c r="C158" s="69" t="s">
        <v>155</v>
      </c>
      <c r="D158" s="69" t="s">
        <v>155</v>
      </c>
      <c r="E158" s="14" t="s">
        <v>103</v>
      </c>
      <c r="F158" s="14" t="s">
        <v>103</v>
      </c>
      <c r="G158" s="14" t="s">
        <v>103</v>
      </c>
      <c r="H158" s="14" t="s">
        <v>101</v>
      </c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</row>
    <row r="159" spans="1:19" s="5" customFormat="1" ht="25" customHeight="1" x14ac:dyDescent="0.2">
      <c r="A159" s="14">
        <v>9</v>
      </c>
      <c r="B159" s="15" t="s">
        <v>188</v>
      </c>
      <c r="C159" s="14" t="s">
        <v>103</v>
      </c>
      <c r="D159" s="14" t="s">
        <v>103</v>
      </c>
      <c r="E159" s="14" t="s">
        <v>103</v>
      </c>
      <c r="F159" s="14" t="s">
        <v>103</v>
      </c>
      <c r="G159" s="14" t="s">
        <v>103</v>
      </c>
      <c r="H159" s="14" t="s">
        <v>101</v>
      </c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</row>
    <row r="160" spans="1:19" s="5" customFormat="1" ht="30" customHeight="1" x14ac:dyDescent="0.2">
      <c r="A160" s="14">
        <v>10</v>
      </c>
      <c r="B160" s="15" t="s">
        <v>189</v>
      </c>
      <c r="C160" s="14" t="s">
        <v>103</v>
      </c>
      <c r="D160" s="14" t="s">
        <v>103</v>
      </c>
      <c r="E160" s="14" t="s">
        <v>103</v>
      </c>
      <c r="F160" s="14" t="s">
        <v>103</v>
      </c>
      <c r="G160" s="14" t="s">
        <v>103</v>
      </c>
      <c r="H160" s="14" t="s">
        <v>101</v>
      </c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</row>
    <row r="161" spans="1:19" s="5" customFormat="1" ht="15" customHeight="1" x14ac:dyDescent="0.2">
      <c r="A161" s="29"/>
      <c r="B161" s="30"/>
      <c r="C161" s="29"/>
      <c r="D161" s="29"/>
      <c r="E161" s="29"/>
      <c r="F161" s="29"/>
      <c r="G161" s="29"/>
      <c r="H161" s="29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</row>
    <row r="162" spans="1:19" ht="18" customHeight="1" x14ac:dyDescent="0.2">
      <c r="A162" s="32" t="s">
        <v>104</v>
      </c>
      <c r="B162" s="6"/>
      <c r="C162" s="6"/>
      <c r="D162" s="32" t="s">
        <v>105</v>
      </c>
      <c r="E162" s="6"/>
      <c r="F162" s="10" t="s">
        <v>106</v>
      </c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0" customHeight="1" x14ac:dyDescent="0.2">
      <c r="A163" s="32"/>
      <c r="B163" s="6"/>
      <c r="C163" s="6"/>
      <c r="D163" s="32"/>
      <c r="E163" s="6"/>
      <c r="F163" s="33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9" customHeight="1" x14ac:dyDescent="0.2">
      <c r="A164" s="32"/>
      <c r="B164" s="6"/>
      <c r="C164" s="6"/>
      <c r="D164" s="32"/>
      <c r="E164" s="6"/>
      <c r="F164" s="33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8" customHeight="1" x14ac:dyDescent="0.2">
      <c r="A165" s="13" t="s">
        <v>107</v>
      </c>
      <c r="B165" s="6"/>
      <c r="C165" s="6"/>
      <c r="D165" s="13" t="s">
        <v>108</v>
      </c>
      <c r="E165" s="6"/>
      <c r="F165" s="13" t="s">
        <v>109</v>
      </c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8" customHeight="1" x14ac:dyDescent="0.2">
      <c r="A166" s="32" t="s">
        <v>110</v>
      </c>
      <c r="B166" s="6"/>
      <c r="C166" s="6"/>
      <c r="D166" s="32" t="s">
        <v>111</v>
      </c>
      <c r="E166" s="6"/>
      <c r="F166" s="32" t="s">
        <v>112</v>
      </c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" customHeight="1" x14ac:dyDescent="0.2">
      <c r="A877" s="7"/>
      <c r="B877" s="7"/>
      <c r="C877" s="7"/>
      <c r="D877" s="7"/>
      <c r="E877" s="7"/>
      <c r="F877" s="31"/>
      <c r="G877" s="31"/>
      <c r="H877" s="7"/>
    </row>
  </sheetData>
  <mergeCells count="70">
    <mergeCell ref="A154:H154"/>
    <mergeCell ref="F37:F40"/>
    <mergeCell ref="F42:F45"/>
    <mergeCell ref="F47:F50"/>
    <mergeCell ref="G37:G40"/>
    <mergeCell ref="G42:G45"/>
    <mergeCell ref="G47:G50"/>
    <mergeCell ref="H37:H40"/>
    <mergeCell ref="H42:H45"/>
    <mergeCell ref="H47:H50"/>
    <mergeCell ref="A134:H134"/>
    <mergeCell ref="A135:H135"/>
    <mergeCell ref="A136:H136"/>
    <mergeCell ref="A137:H137"/>
    <mergeCell ref="A140:H140"/>
    <mergeCell ref="A123:H123"/>
    <mergeCell ref="A128:H128"/>
    <mergeCell ref="A132:H132"/>
    <mergeCell ref="A133:H133"/>
    <mergeCell ref="A147:H147"/>
    <mergeCell ref="A103:H103"/>
    <mergeCell ref="A104:H104"/>
    <mergeCell ref="A112:H112"/>
    <mergeCell ref="A107:H107"/>
    <mergeCell ref="A118:H118"/>
    <mergeCell ref="G96:H96"/>
    <mergeCell ref="A99:H99"/>
    <mergeCell ref="A100:H100"/>
    <mergeCell ref="A101:H101"/>
    <mergeCell ref="A102:H102"/>
    <mergeCell ref="A62:H62"/>
    <mergeCell ref="A63:H63"/>
    <mergeCell ref="A66:H66"/>
    <mergeCell ref="G74:H74"/>
    <mergeCell ref="A77:H77"/>
    <mergeCell ref="F68:F70"/>
    <mergeCell ref="G68:G70"/>
    <mergeCell ref="H68:H70"/>
    <mergeCell ref="A51:H51"/>
    <mergeCell ref="A58:H58"/>
    <mergeCell ref="A59:H59"/>
    <mergeCell ref="A60:H60"/>
    <mergeCell ref="A61:H61"/>
    <mergeCell ref="A26:H26"/>
    <mergeCell ref="A27:H27"/>
    <mergeCell ref="A35:H35"/>
    <mergeCell ref="A41:H41"/>
    <mergeCell ref="A46:H46"/>
    <mergeCell ref="A30:H30"/>
    <mergeCell ref="F31:F34"/>
    <mergeCell ref="G31:G34"/>
    <mergeCell ref="H31:H34"/>
    <mergeCell ref="A8:H8"/>
    <mergeCell ref="A22:H22"/>
    <mergeCell ref="A23:H23"/>
    <mergeCell ref="A24:H24"/>
    <mergeCell ref="A25:H25"/>
    <mergeCell ref="A3:H3"/>
    <mergeCell ref="A4:H4"/>
    <mergeCell ref="A5:H5"/>
    <mergeCell ref="A6:H6"/>
    <mergeCell ref="A7:H7"/>
    <mergeCell ref="F79:F81"/>
    <mergeCell ref="G79:G81"/>
    <mergeCell ref="H79:H81"/>
    <mergeCell ref="F90:F92"/>
    <mergeCell ref="G90:G92"/>
    <mergeCell ref="H90:H92"/>
    <mergeCell ref="G85:H85"/>
    <mergeCell ref="A88:H88"/>
  </mergeCells>
  <dataValidations count="3">
    <dataValidation type="list" allowBlank="1" showInputMessage="1" showErrorMessage="1" sqref="E36:E40 E42:E45 E47:E50 E52:E54 E67:E76 E78:E87 E89:E98 E31:E34" xr:uid="{00000000-0002-0000-0300-000000000000}">
      <formula1>"Implemented, Ongoing, For Implementation, Rescheduled, Deferred, Cancelled"</formula1>
    </dataValidation>
    <dataValidation type="list" allowBlank="1" showInputMessage="1" showErrorMessage="1" sqref="G11:G18" xr:uid="{00000000-0002-0000-0300-000001000000}">
      <formula1>"MET, Partially MET,UNMET,Not Yet Due, Overdue"</formula1>
    </dataValidation>
    <dataValidation type="list" allowBlank="1" showInputMessage="1" showErrorMessage="1" sqref="C148:H153 C113:H117 C119:H122 C124:H127 C129:H131 C141:H146 C155:H161 C108:H111" xr:uid="{00000000-0002-0000-03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Z1028"/>
  <sheetViews>
    <sheetView showGridLines="0" tabSelected="1" view="pageBreakPreview" topLeftCell="A297" zoomScaleNormal="70" zoomScaleSheetLayoutView="100" workbookViewId="0">
      <selection activeCell="A292" sqref="A292:XFD295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3" t="s">
        <v>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5" t="s">
        <v>60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7" t="s">
        <v>195</v>
      </c>
      <c r="B5" s="108"/>
      <c r="C5" s="108"/>
      <c r="D5" s="108"/>
      <c r="E5" s="108"/>
      <c r="F5" s="108"/>
      <c r="G5" s="108"/>
      <c r="H5" s="108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11"/>
      <c r="C7" s="111"/>
      <c r="D7" s="111"/>
      <c r="E7" s="111"/>
      <c r="F7" s="111"/>
      <c r="G7" s="111"/>
      <c r="H7" s="1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2" t="s">
        <v>3</v>
      </c>
      <c r="B8" s="102"/>
      <c r="C8" s="102"/>
      <c r="D8" s="102"/>
      <c r="E8" s="102"/>
      <c r="F8" s="102"/>
      <c r="G8" s="102"/>
      <c r="H8" s="102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69" customHeight="1" x14ac:dyDescent="0.2">
      <c r="A11" s="14" t="s">
        <v>12</v>
      </c>
      <c r="B11" s="43" t="s">
        <v>13</v>
      </c>
      <c r="C11" s="37" t="s">
        <v>14</v>
      </c>
      <c r="D11" s="37">
        <v>1</v>
      </c>
      <c r="E11" s="37">
        <v>1</v>
      </c>
      <c r="F11" s="81">
        <f t="shared" ref="F11:F19" si="0">E11-D11</f>
        <v>0</v>
      </c>
      <c r="G11" s="47" t="s">
        <v>15</v>
      </c>
      <c r="H11" s="43" t="s">
        <v>374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409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si="0"/>
        <v>-4</v>
      </c>
      <c r="G12" s="44" t="s">
        <v>20</v>
      </c>
      <c r="H12" s="66" t="s">
        <v>196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409" customHeight="1" x14ac:dyDescent="0.2">
      <c r="A13" s="14" t="s">
        <v>22</v>
      </c>
      <c r="B13" s="43" t="s">
        <v>23</v>
      </c>
      <c r="C13" s="37" t="s">
        <v>19</v>
      </c>
      <c r="D13" s="37">
        <v>436</v>
      </c>
      <c r="E13" s="37">
        <v>422</v>
      </c>
      <c r="F13" s="85">
        <f t="shared" si="0"/>
        <v>-14</v>
      </c>
      <c r="G13" s="44" t="s">
        <v>20</v>
      </c>
      <c r="H13" s="67" t="s">
        <v>384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409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67" t="s">
        <v>197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225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373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109" customHeight="1" x14ac:dyDescent="0.2">
      <c r="A16" s="14" t="s">
        <v>31</v>
      </c>
      <c r="B16" s="43" t="s">
        <v>32</v>
      </c>
      <c r="C16" s="37" t="s">
        <v>33</v>
      </c>
      <c r="D16" s="49">
        <v>1</v>
      </c>
      <c r="E16" s="49">
        <v>1</v>
      </c>
      <c r="F16" s="81">
        <f t="shared" si="0"/>
        <v>0</v>
      </c>
      <c r="G16" s="47" t="s">
        <v>15</v>
      </c>
      <c r="H16" s="43" t="s">
        <v>198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66" customHeight="1" x14ac:dyDescent="0.2">
      <c r="A17" s="14" t="s">
        <v>44</v>
      </c>
      <c r="B17" s="43" t="s">
        <v>45</v>
      </c>
      <c r="C17" s="37" t="s">
        <v>51</v>
      </c>
      <c r="D17" s="49">
        <v>1</v>
      </c>
      <c r="E17" s="49">
        <v>1</v>
      </c>
      <c r="F17" s="81">
        <f t="shared" si="0"/>
        <v>0</v>
      </c>
      <c r="G17" s="47" t="s">
        <v>15</v>
      </c>
      <c r="H17" s="43" t="s">
        <v>199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80" customHeight="1" x14ac:dyDescent="0.2">
      <c r="A18" s="14" t="s">
        <v>53</v>
      </c>
      <c r="B18" s="43" t="s">
        <v>54</v>
      </c>
      <c r="C18" s="37" t="s">
        <v>51</v>
      </c>
      <c r="D18" s="49">
        <v>1</v>
      </c>
      <c r="E18" s="49">
        <v>1</v>
      </c>
      <c r="F18" s="81">
        <f t="shared" si="0"/>
        <v>0</v>
      </c>
      <c r="G18" s="47" t="s">
        <v>15</v>
      </c>
      <c r="H18" s="43" t="s">
        <v>121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4" customFormat="1" ht="50" customHeight="1" x14ac:dyDescent="0.2">
      <c r="A19" s="14" t="s">
        <v>56</v>
      </c>
      <c r="B19" s="15" t="s">
        <v>57</v>
      </c>
      <c r="C19" s="14" t="s">
        <v>58</v>
      </c>
      <c r="D19" s="21">
        <v>0.7</v>
      </c>
      <c r="E19" s="39">
        <v>0.48570000000000002</v>
      </c>
      <c r="F19" s="98">
        <f t="shared" si="0"/>
        <v>-0.21429999999999993</v>
      </c>
      <c r="G19" s="19" t="s">
        <v>20</v>
      </c>
      <c r="H19" s="15" t="s">
        <v>381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42" spans="1:19" s="1" customFormat="1" ht="20" customHeight="1" x14ac:dyDescent="0.2">
      <c r="A42" s="103" t="s">
        <v>0</v>
      </c>
      <c r="B42" s="104"/>
      <c r="C42" s="104"/>
      <c r="D42" s="104"/>
      <c r="E42" s="104"/>
      <c r="F42" s="104"/>
      <c r="G42" s="104"/>
      <c r="H42" s="104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s="1" customFormat="1" ht="20" customHeight="1" x14ac:dyDescent="0.2">
      <c r="A43" s="105" t="s">
        <v>60</v>
      </c>
      <c r="B43" s="106"/>
      <c r="C43" s="106"/>
      <c r="D43" s="106"/>
      <c r="E43" s="106"/>
      <c r="F43" s="106"/>
      <c r="G43" s="106"/>
      <c r="H43" s="10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s="1" customFormat="1" ht="48" customHeight="1" x14ac:dyDescent="0.2">
      <c r="A44" s="109" t="s">
        <v>375</v>
      </c>
      <c r="B44" s="132"/>
      <c r="C44" s="132"/>
      <c r="D44" s="132"/>
      <c r="E44" s="132"/>
      <c r="F44" s="132"/>
      <c r="G44" s="132"/>
      <c r="H44" s="13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7" x14ac:dyDescent="0.2">
      <c r="A45" s="109"/>
      <c r="B45" s="109"/>
      <c r="C45" s="109"/>
      <c r="D45" s="109"/>
      <c r="E45" s="109"/>
      <c r="F45" s="109"/>
      <c r="G45" s="109"/>
      <c r="H45" s="109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2" customFormat="1" ht="20" customHeight="1" x14ac:dyDescent="0.2">
      <c r="A46" s="110" t="s">
        <v>62</v>
      </c>
      <c r="B46" s="111"/>
      <c r="C46" s="111"/>
      <c r="D46" s="111"/>
      <c r="E46" s="111"/>
      <c r="F46" s="111"/>
      <c r="G46" s="111"/>
      <c r="H46" s="111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 s="2" customFormat="1" ht="20" customHeight="1" x14ac:dyDescent="0.2">
      <c r="A47" s="102" t="s">
        <v>63</v>
      </c>
      <c r="B47" s="102"/>
      <c r="C47" s="102"/>
      <c r="D47" s="102"/>
      <c r="E47" s="102"/>
      <c r="F47" s="102"/>
      <c r="G47" s="102"/>
      <c r="H47" s="102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 s="2" customFormat="1" ht="20" customHeight="1" x14ac:dyDescent="0.2">
      <c r="A48" s="8"/>
      <c r="B48" s="9"/>
      <c r="C48" s="9"/>
      <c r="D48" s="9"/>
      <c r="E48" s="9"/>
      <c r="F48" s="9"/>
      <c r="G48" s="9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 s="3" customFormat="1" ht="24" customHeight="1" x14ac:dyDescent="0.2">
      <c r="A49" s="11" t="s">
        <v>64</v>
      </c>
      <c r="B49" s="12" t="s">
        <v>65</v>
      </c>
      <c r="C49" s="11" t="s">
        <v>66</v>
      </c>
      <c r="D49" s="12" t="s">
        <v>67</v>
      </c>
      <c r="E49" s="11" t="s">
        <v>68</v>
      </c>
      <c r="F49" s="11" t="s">
        <v>69</v>
      </c>
      <c r="G49" s="12" t="s">
        <v>70</v>
      </c>
      <c r="H49" s="11" t="s">
        <v>57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</row>
    <row r="50" spans="1:19" s="3" customFormat="1" ht="30" customHeight="1" x14ac:dyDescent="0.2">
      <c r="A50" s="133" t="s">
        <v>200</v>
      </c>
      <c r="B50" s="134"/>
      <c r="C50" s="134"/>
      <c r="D50" s="134"/>
      <c r="E50" s="134"/>
      <c r="F50" s="135"/>
      <c r="G50" s="135"/>
      <c r="H50" s="136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</row>
    <row r="51" spans="1:19" s="5" customFormat="1" ht="30" customHeight="1" x14ac:dyDescent="0.2">
      <c r="A51" s="37">
        <v>1</v>
      </c>
      <c r="B51" s="43" t="s">
        <v>201</v>
      </c>
      <c r="C51" s="37" t="s">
        <v>202</v>
      </c>
      <c r="D51" s="37" t="s">
        <v>202</v>
      </c>
      <c r="E51" s="53" t="s">
        <v>73</v>
      </c>
      <c r="F51" s="50">
        <v>5250</v>
      </c>
      <c r="G51" s="50">
        <v>0</v>
      </c>
      <c r="H51" s="54">
        <f t="shared" ref="H51:H54" si="1">(G51/F51)</f>
        <v>0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30" customHeight="1" x14ac:dyDescent="0.2">
      <c r="A52" s="37">
        <v>2</v>
      </c>
      <c r="B52" s="43" t="s">
        <v>203</v>
      </c>
      <c r="C52" s="37" t="s">
        <v>141</v>
      </c>
      <c r="D52" s="82" t="s">
        <v>72</v>
      </c>
      <c r="E52" s="53" t="s">
        <v>73</v>
      </c>
      <c r="F52" s="50">
        <v>4725</v>
      </c>
      <c r="G52" s="50">
        <v>4200</v>
      </c>
      <c r="H52" s="54">
        <f t="shared" si="1"/>
        <v>0.88888888888888884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0" customHeight="1" x14ac:dyDescent="0.2">
      <c r="A53" s="37">
        <v>3</v>
      </c>
      <c r="B53" s="43" t="s">
        <v>204</v>
      </c>
      <c r="C53" s="37" t="s">
        <v>141</v>
      </c>
      <c r="D53" s="82" t="s">
        <v>72</v>
      </c>
      <c r="E53" s="53" t="s">
        <v>73</v>
      </c>
      <c r="F53" s="50">
        <v>5250</v>
      </c>
      <c r="G53" s="50">
        <v>4550</v>
      </c>
      <c r="H53" s="54">
        <f t="shared" si="1"/>
        <v>0.8666666666666667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0" customHeight="1" x14ac:dyDescent="0.2">
      <c r="A54" s="37">
        <v>4</v>
      </c>
      <c r="B54" s="43" t="s">
        <v>205</v>
      </c>
      <c r="C54" s="37" t="s">
        <v>141</v>
      </c>
      <c r="D54" s="82" t="s">
        <v>72</v>
      </c>
      <c r="E54" s="53" t="s">
        <v>73</v>
      </c>
      <c r="F54" s="50">
        <v>4725</v>
      </c>
      <c r="G54" s="50">
        <v>4375</v>
      </c>
      <c r="H54" s="54">
        <f t="shared" si="1"/>
        <v>0.92592592592592593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30" customHeight="1" x14ac:dyDescent="0.2">
      <c r="A55" s="37">
        <v>5</v>
      </c>
      <c r="B55" s="43" t="s">
        <v>206</v>
      </c>
      <c r="C55" s="37" t="s">
        <v>207</v>
      </c>
      <c r="D55" s="82" t="s">
        <v>91</v>
      </c>
      <c r="E55" s="76" t="s">
        <v>89</v>
      </c>
      <c r="F55" s="50">
        <v>11200</v>
      </c>
      <c r="G55" s="50">
        <v>0</v>
      </c>
      <c r="H55" s="54">
        <f t="shared" ref="H55" si="2">(G55/F55)</f>
        <v>0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1:19" s="3" customFormat="1" ht="30" customHeight="1" x14ac:dyDescent="0.2">
      <c r="A56" s="133" t="s">
        <v>208</v>
      </c>
      <c r="B56" s="134"/>
      <c r="C56" s="134"/>
      <c r="D56" s="134"/>
      <c r="E56" s="134"/>
      <c r="F56" s="135"/>
      <c r="G56" s="135"/>
      <c r="H56" s="136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</row>
    <row r="57" spans="1:19" s="5" customFormat="1" ht="30" customHeight="1" x14ac:dyDescent="0.2">
      <c r="A57" s="37">
        <v>1</v>
      </c>
      <c r="B57" s="43" t="s">
        <v>209</v>
      </c>
      <c r="C57" s="37" t="s">
        <v>72</v>
      </c>
      <c r="D57" s="37" t="s">
        <v>72</v>
      </c>
      <c r="E57" s="53" t="s">
        <v>73</v>
      </c>
      <c r="F57" s="50">
        <v>5600</v>
      </c>
      <c r="G57" s="50">
        <v>4375</v>
      </c>
      <c r="H57" s="54">
        <f t="shared" ref="H57:H61" si="3">(G57/F57)</f>
        <v>0.78125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0" customHeight="1" x14ac:dyDescent="0.2">
      <c r="A58" s="37">
        <v>2</v>
      </c>
      <c r="B58" s="43" t="s">
        <v>210</v>
      </c>
      <c r="C58" s="37" t="s">
        <v>81</v>
      </c>
      <c r="D58" s="82" t="s">
        <v>84</v>
      </c>
      <c r="E58" s="53" t="s">
        <v>73</v>
      </c>
      <c r="F58" s="50">
        <v>5600</v>
      </c>
      <c r="G58" s="50">
        <v>5075</v>
      </c>
      <c r="H58" s="54">
        <f t="shared" si="3"/>
        <v>0.90625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5" customFormat="1" ht="30" customHeight="1" x14ac:dyDescent="0.2">
      <c r="A59" s="37">
        <v>3</v>
      </c>
      <c r="B59" s="43" t="s">
        <v>211</v>
      </c>
      <c r="C59" s="37" t="s">
        <v>81</v>
      </c>
      <c r="D59" s="82" t="s">
        <v>87</v>
      </c>
      <c r="E59" s="53" t="s">
        <v>73</v>
      </c>
      <c r="F59" s="50">
        <v>5600</v>
      </c>
      <c r="G59" s="50">
        <v>5075</v>
      </c>
      <c r="H59" s="54">
        <f t="shared" si="3"/>
        <v>0.90625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  <row r="60" spans="1:19" s="5" customFormat="1" ht="30" customHeight="1" x14ac:dyDescent="0.2">
      <c r="A60" s="37">
        <v>4</v>
      </c>
      <c r="B60" s="43" t="s">
        <v>212</v>
      </c>
      <c r="C60" s="37" t="s">
        <v>81</v>
      </c>
      <c r="D60" s="82" t="s">
        <v>87</v>
      </c>
      <c r="E60" s="53" t="s">
        <v>73</v>
      </c>
      <c r="F60" s="50">
        <v>5600</v>
      </c>
      <c r="G60" s="50">
        <v>5075</v>
      </c>
      <c r="H60" s="54">
        <f t="shared" si="3"/>
        <v>0.90625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3" customFormat="1" ht="30" customHeight="1" x14ac:dyDescent="0.2">
      <c r="A61" s="37">
        <v>5</v>
      </c>
      <c r="B61" s="43" t="s">
        <v>206</v>
      </c>
      <c r="C61" s="37" t="s">
        <v>207</v>
      </c>
      <c r="D61" s="82" t="s">
        <v>87</v>
      </c>
      <c r="E61" s="37" t="s">
        <v>89</v>
      </c>
      <c r="F61" s="50">
        <v>11200</v>
      </c>
      <c r="G61" s="50">
        <v>5075</v>
      </c>
      <c r="H61" s="54">
        <f t="shared" si="3"/>
        <v>0.453125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80" spans="1:19" s="1" customFormat="1" ht="20" customHeight="1" x14ac:dyDescent="0.2">
      <c r="A80" s="103" t="s">
        <v>0</v>
      </c>
      <c r="B80" s="104"/>
      <c r="C80" s="104"/>
      <c r="D80" s="104"/>
      <c r="E80" s="104"/>
      <c r="F80" s="104"/>
      <c r="G80" s="104"/>
      <c r="H80" s="104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</row>
    <row r="81" spans="1:19" s="1" customFormat="1" ht="20" customHeight="1" x14ac:dyDescent="0.2">
      <c r="A81" s="105" t="s">
        <v>60</v>
      </c>
      <c r="B81" s="106"/>
      <c r="C81" s="106"/>
      <c r="D81" s="106"/>
      <c r="E81" s="106"/>
      <c r="F81" s="106"/>
      <c r="G81" s="106"/>
      <c r="H81" s="10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spans="1:19" s="1" customFormat="1" ht="20" customHeight="1" x14ac:dyDescent="0.2">
      <c r="A82" s="107" t="s">
        <v>376</v>
      </c>
      <c r="B82" s="108"/>
      <c r="C82" s="108"/>
      <c r="D82" s="108"/>
      <c r="E82" s="108"/>
      <c r="F82" s="108"/>
      <c r="G82" s="108"/>
      <c r="H82" s="108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spans="1:19" ht="17" x14ac:dyDescent="0.2">
      <c r="A83" s="109"/>
      <c r="B83" s="109"/>
      <c r="C83" s="109"/>
      <c r="D83" s="109"/>
      <c r="E83" s="109"/>
      <c r="F83" s="109"/>
      <c r="G83" s="109"/>
      <c r="H83" s="109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s="2" customFormat="1" ht="20" customHeight="1" x14ac:dyDescent="0.2">
      <c r="A84" s="110" t="s">
        <v>62</v>
      </c>
      <c r="B84" s="111"/>
      <c r="C84" s="111"/>
      <c r="D84" s="111"/>
      <c r="E84" s="111"/>
      <c r="F84" s="111"/>
      <c r="G84" s="111"/>
      <c r="H84" s="111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</row>
    <row r="85" spans="1:19" s="2" customFormat="1" ht="20" customHeight="1" x14ac:dyDescent="0.2">
      <c r="A85" s="102" t="s">
        <v>63</v>
      </c>
      <c r="B85" s="102"/>
      <c r="C85" s="102"/>
      <c r="D85" s="102"/>
      <c r="E85" s="102"/>
      <c r="F85" s="102"/>
      <c r="G85" s="102"/>
      <c r="H85" s="102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1:19" s="2" customFormat="1" ht="20" customHeight="1" x14ac:dyDescent="0.2">
      <c r="A86" s="8"/>
      <c r="B86" s="9"/>
      <c r="C86" s="9"/>
      <c r="D86" s="9"/>
      <c r="E86" s="9"/>
      <c r="F86" s="9"/>
      <c r="G86" s="9"/>
      <c r="H86" s="9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 s="3" customFormat="1" ht="24" customHeight="1" x14ac:dyDescent="0.2">
      <c r="A87" s="11" t="s">
        <v>64</v>
      </c>
      <c r="B87" s="12" t="s">
        <v>65</v>
      </c>
      <c r="C87" s="11" t="s">
        <v>66</v>
      </c>
      <c r="D87" s="12" t="s">
        <v>67</v>
      </c>
      <c r="E87" s="11" t="s">
        <v>68</v>
      </c>
      <c r="F87" s="11" t="s">
        <v>69</v>
      </c>
      <c r="G87" s="12" t="s">
        <v>70</v>
      </c>
      <c r="H87" s="11" t="s">
        <v>57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</row>
    <row r="88" spans="1:19" s="5" customFormat="1" ht="30" customHeight="1" x14ac:dyDescent="0.2">
      <c r="A88" s="133" t="s">
        <v>213</v>
      </c>
      <c r="B88" s="134"/>
      <c r="C88" s="134"/>
      <c r="D88" s="134"/>
      <c r="E88" s="134"/>
      <c r="F88" s="135"/>
      <c r="G88" s="135"/>
      <c r="H88" s="13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s="5" customFormat="1" ht="30" customHeight="1" x14ac:dyDescent="0.2">
      <c r="A89" s="37">
        <v>1</v>
      </c>
      <c r="B89" s="43" t="s">
        <v>201</v>
      </c>
      <c r="C89" s="37" t="s">
        <v>214</v>
      </c>
      <c r="D89" s="37" t="s">
        <v>215</v>
      </c>
      <c r="E89" s="53" t="s">
        <v>73</v>
      </c>
      <c r="F89" s="50" t="s">
        <v>154</v>
      </c>
      <c r="G89" s="50" t="s">
        <v>154</v>
      </c>
      <c r="H89" s="54" t="s">
        <v>154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s="5" customFormat="1" ht="30" customHeight="1" x14ac:dyDescent="0.2">
      <c r="A90" s="37">
        <v>2</v>
      </c>
      <c r="B90" s="43" t="s">
        <v>216</v>
      </c>
      <c r="C90" s="37" t="s">
        <v>141</v>
      </c>
      <c r="D90" s="82" t="s">
        <v>72</v>
      </c>
      <c r="E90" s="53" t="s">
        <v>73</v>
      </c>
      <c r="F90" s="50" t="s">
        <v>154</v>
      </c>
      <c r="G90" s="50" t="s">
        <v>154</v>
      </c>
      <c r="H90" s="54" t="s">
        <v>154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s="5" customFormat="1" ht="30" customHeight="1" x14ac:dyDescent="0.2">
      <c r="A91" s="133" t="s">
        <v>217</v>
      </c>
      <c r="B91" s="134"/>
      <c r="C91" s="134"/>
      <c r="D91" s="134"/>
      <c r="E91" s="134"/>
      <c r="F91" s="135"/>
      <c r="G91" s="135"/>
      <c r="H91" s="13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3" customFormat="1" ht="30" customHeight="1" x14ac:dyDescent="0.2">
      <c r="A92" s="37">
        <v>1</v>
      </c>
      <c r="B92" s="43" t="s">
        <v>218</v>
      </c>
      <c r="C92" s="37" t="s">
        <v>141</v>
      </c>
      <c r="D92" s="82" t="s">
        <v>72</v>
      </c>
      <c r="E92" s="53" t="s">
        <v>73</v>
      </c>
      <c r="F92" s="50" t="s">
        <v>154</v>
      </c>
      <c r="G92" s="50" t="s">
        <v>154</v>
      </c>
      <c r="H92" s="54" t="s">
        <v>154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</row>
    <row r="93" spans="1:19" s="5" customFormat="1" ht="30" customHeight="1" x14ac:dyDescent="0.2">
      <c r="A93" s="37">
        <v>2</v>
      </c>
      <c r="B93" s="43" t="s">
        <v>219</v>
      </c>
      <c r="C93" s="37" t="s">
        <v>141</v>
      </c>
      <c r="D93" s="82" t="s">
        <v>72</v>
      </c>
      <c r="E93" s="53" t="s">
        <v>73</v>
      </c>
      <c r="F93" s="50" t="s">
        <v>154</v>
      </c>
      <c r="G93" s="50" t="s">
        <v>154</v>
      </c>
      <c r="H93" s="54" t="s">
        <v>154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37">
        <v>3</v>
      </c>
      <c r="B94" s="43" t="s">
        <v>220</v>
      </c>
      <c r="C94" s="37" t="s">
        <v>72</v>
      </c>
      <c r="D94" s="82" t="s">
        <v>81</v>
      </c>
      <c r="E94" s="53" t="s">
        <v>73</v>
      </c>
      <c r="F94" s="50" t="s">
        <v>154</v>
      </c>
      <c r="G94" s="50" t="s">
        <v>154</v>
      </c>
      <c r="H94" s="54" t="s">
        <v>154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37">
        <v>4</v>
      </c>
      <c r="B95" s="43" t="s">
        <v>221</v>
      </c>
      <c r="C95" s="37" t="s">
        <v>81</v>
      </c>
      <c r="D95" s="82" t="s">
        <v>91</v>
      </c>
      <c r="E95" s="37" t="s">
        <v>89</v>
      </c>
      <c r="F95" s="50" t="s">
        <v>154</v>
      </c>
      <c r="G95" s="50" t="s">
        <v>154</v>
      </c>
      <c r="H95" s="54" t="s">
        <v>154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ht="30" customHeight="1" x14ac:dyDescent="0.2">
      <c r="A96" s="37">
        <v>5</v>
      </c>
      <c r="B96" s="43" t="s">
        <v>222</v>
      </c>
      <c r="C96" s="37" t="s">
        <v>87</v>
      </c>
      <c r="D96" s="82" t="s">
        <v>84</v>
      </c>
      <c r="E96" s="53" t="s">
        <v>73</v>
      </c>
      <c r="F96" s="50" t="s">
        <v>154</v>
      </c>
      <c r="G96" s="50" t="s">
        <v>154</v>
      </c>
      <c r="H96" s="54" t="s">
        <v>154</v>
      </c>
    </row>
    <row r="97" spans="1:8" ht="30" customHeight="1" x14ac:dyDescent="0.2">
      <c r="A97" s="37">
        <v>6</v>
      </c>
      <c r="B97" s="43" t="s">
        <v>223</v>
      </c>
      <c r="C97" s="37" t="s">
        <v>91</v>
      </c>
      <c r="D97" s="82" t="s">
        <v>87</v>
      </c>
      <c r="E97" s="53" t="s">
        <v>73</v>
      </c>
      <c r="F97" s="50" t="s">
        <v>154</v>
      </c>
      <c r="G97" s="50" t="s">
        <v>154</v>
      </c>
      <c r="H97" s="54" t="s">
        <v>154</v>
      </c>
    </row>
    <row r="98" spans="1:8" ht="30" customHeight="1" x14ac:dyDescent="0.2">
      <c r="A98" s="133" t="s">
        <v>224</v>
      </c>
      <c r="B98" s="134"/>
      <c r="C98" s="134"/>
      <c r="D98" s="134"/>
      <c r="E98" s="134"/>
      <c r="F98" s="135"/>
      <c r="G98" s="135"/>
      <c r="H98" s="136"/>
    </row>
    <row r="99" spans="1:8" ht="30" customHeight="1" x14ac:dyDescent="0.2">
      <c r="A99" s="37">
        <v>1</v>
      </c>
      <c r="B99" s="43" t="s">
        <v>218</v>
      </c>
      <c r="C99" s="37" t="s">
        <v>141</v>
      </c>
      <c r="D99" s="82" t="s">
        <v>72</v>
      </c>
      <c r="E99" s="53" t="s">
        <v>73</v>
      </c>
      <c r="F99" s="50">
        <v>1470</v>
      </c>
      <c r="G99" s="50">
        <v>1470</v>
      </c>
      <c r="H99" s="54">
        <f t="shared" ref="H99:H102" si="4">(G99/F99)</f>
        <v>1</v>
      </c>
    </row>
    <row r="100" spans="1:8" ht="30" customHeight="1" x14ac:dyDescent="0.2">
      <c r="A100" s="37">
        <v>2</v>
      </c>
      <c r="B100" s="43" t="s">
        <v>219</v>
      </c>
      <c r="C100" s="37" t="s">
        <v>141</v>
      </c>
      <c r="D100" s="82" t="s">
        <v>72</v>
      </c>
      <c r="E100" s="53" t="s">
        <v>73</v>
      </c>
      <c r="F100" s="50">
        <v>1470</v>
      </c>
      <c r="G100" s="50">
        <v>1470</v>
      </c>
      <c r="H100" s="54">
        <f t="shared" si="4"/>
        <v>1</v>
      </c>
    </row>
    <row r="101" spans="1:8" ht="30" customHeight="1" x14ac:dyDescent="0.2">
      <c r="A101" s="37">
        <v>3</v>
      </c>
      <c r="B101" s="43" t="s">
        <v>220</v>
      </c>
      <c r="C101" s="37" t="s">
        <v>72</v>
      </c>
      <c r="D101" s="82" t="s">
        <v>81</v>
      </c>
      <c r="E101" s="53" t="s">
        <v>73</v>
      </c>
      <c r="F101" s="50">
        <v>1470</v>
      </c>
      <c r="G101" s="50">
        <v>1470</v>
      </c>
      <c r="H101" s="54">
        <f t="shared" si="4"/>
        <v>1</v>
      </c>
    </row>
    <row r="102" spans="1:8" ht="30" customHeight="1" x14ac:dyDescent="0.2">
      <c r="A102" s="37">
        <v>4</v>
      </c>
      <c r="B102" s="43" t="s">
        <v>221</v>
      </c>
      <c r="C102" s="37" t="s">
        <v>81</v>
      </c>
      <c r="D102" s="82" t="s">
        <v>91</v>
      </c>
      <c r="E102" s="37" t="s">
        <v>89</v>
      </c>
      <c r="F102" s="50">
        <v>1617</v>
      </c>
      <c r="G102" s="50">
        <v>0</v>
      </c>
      <c r="H102" s="54">
        <f t="shared" si="4"/>
        <v>0</v>
      </c>
    </row>
    <row r="103" spans="1:8" ht="30" customHeight="1" x14ac:dyDescent="0.2">
      <c r="A103" s="37">
        <v>5</v>
      </c>
      <c r="B103" s="43" t="s">
        <v>222</v>
      </c>
      <c r="C103" s="37" t="s">
        <v>87</v>
      </c>
      <c r="D103" s="82" t="s">
        <v>84</v>
      </c>
      <c r="E103" s="53" t="s">
        <v>73</v>
      </c>
      <c r="F103" s="50">
        <v>1617</v>
      </c>
      <c r="G103" s="50">
        <v>1475</v>
      </c>
      <c r="H103" s="54">
        <f>(G103/F103)</f>
        <v>0.91218305504019792</v>
      </c>
    </row>
    <row r="104" spans="1:8" ht="30" customHeight="1" x14ac:dyDescent="0.2">
      <c r="A104" s="37">
        <v>6</v>
      </c>
      <c r="B104" s="43" t="s">
        <v>223</v>
      </c>
      <c r="C104" s="37" t="s">
        <v>91</v>
      </c>
      <c r="D104" s="82" t="s">
        <v>87</v>
      </c>
      <c r="E104" s="53" t="s">
        <v>73</v>
      </c>
      <c r="F104" s="50">
        <v>1617</v>
      </c>
      <c r="G104" s="50">
        <v>1475</v>
      </c>
      <c r="H104" s="54">
        <f>(G104/F104)</f>
        <v>0.91218305504019792</v>
      </c>
    </row>
    <row r="105" spans="1:8" s="42" customFormat="1" ht="15" customHeight="1" x14ac:dyDescent="0.2">
      <c r="A105" s="59"/>
      <c r="B105" s="59"/>
      <c r="C105" s="59"/>
      <c r="D105" s="59"/>
      <c r="E105" s="59"/>
      <c r="F105" s="60"/>
      <c r="G105" s="60"/>
      <c r="H105" s="59"/>
    </row>
    <row r="106" spans="1:8" s="42" customFormat="1" ht="15" customHeight="1" x14ac:dyDescent="0.2">
      <c r="A106" s="59"/>
      <c r="B106" s="59"/>
      <c r="C106" s="59"/>
      <c r="D106" s="59"/>
      <c r="E106" s="59"/>
      <c r="F106" s="60"/>
      <c r="G106" s="60"/>
      <c r="H106" s="59"/>
    </row>
    <row r="107" spans="1:8" s="42" customFormat="1" ht="15" customHeight="1" x14ac:dyDescent="0.2">
      <c r="A107" s="59"/>
      <c r="B107" s="59"/>
      <c r="C107" s="59"/>
      <c r="D107" s="59"/>
      <c r="E107" s="59"/>
      <c r="F107" s="60"/>
      <c r="G107" s="60"/>
      <c r="H107" s="59"/>
    </row>
    <row r="108" spans="1:8" s="42" customFormat="1" ht="15" customHeight="1" x14ac:dyDescent="0.2">
      <c r="A108" s="59"/>
      <c r="B108" s="59"/>
      <c r="C108" s="59"/>
      <c r="D108" s="59"/>
      <c r="E108" s="59"/>
      <c r="F108" s="60"/>
      <c r="G108" s="60"/>
      <c r="H108" s="59"/>
    </row>
    <row r="109" spans="1:8" s="42" customFormat="1" ht="15" customHeight="1" x14ac:dyDescent="0.2">
      <c r="A109" s="59"/>
      <c r="B109" s="59"/>
      <c r="C109" s="59"/>
      <c r="D109" s="59"/>
      <c r="E109" s="59"/>
      <c r="F109" s="60"/>
      <c r="G109" s="60"/>
      <c r="H109" s="59"/>
    </row>
    <row r="110" spans="1:8" s="42" customFormat="1" ht="15" customHeight="1" x14ac:dyDescent="0.2">
      <c r="A110" s="59"/>
      <c r="B110" s="59"/>
      <c r="C110" s="59"/>
      <c r="D110" s="59"/>
      <c r="E110" s="59"/>
      <c r="F110" s="60"/>
      <c r="G110" s="60"/>
      <c r="H110" s="59"/>
    </row>
    <row r="111" spans="1:8" s="42" customFormat="1" ht="15" customHeight="1" x14ac:dyDescent="0.2">
      <c r="A111" s="59"/>
      <c r="B111" s="59"/>
      <c r="C111" s="59"/>
      <c r="D111" s="59"/>
      <c r="E111" s="59"/>
      <c r="F111" s="60"/>
      <c r="G111" s="60"/>
      <c r="H111" s="59"/>
    </row>
    <row r="112" spans="1:8" s="42" customFormat="1" ht="15" customHeight="1" x14ac:dyDescent="0.2">
      <c r="A112" s="59"/>
      <c r="B112" s="59"/>
      <c r="C112" s="59"/>
      <c r="D112" s="59"/>
      <c r="E112" s="59"/>
      <c r="F112" s="60"/>
      <c r="G112" s="60"/>
      <c r="H112" s="59"/>
    </row>
    <row r="113" spans="1:19" s="42" customFormat="1" ht="15" customHeight="1" x14ac:dyDescent="0.2">
      <c r="A113" s="59"/>
      <c r="B113" s="59"/>
      <c r="C113" s="59"/>
      <c r="D113" s="59"/>
      <c r="E113" s="59"/>
      <c r="F113" s="60"/>
      <c r="G113" s="60"/>
      <c r="H113" s="59"/>
    </row>
    <row r="114" spans="1:19" s="1" customFormat="1" ht="20" customHeight="1" x14ac:dyDescent="0.2">
      <c r="A114" s="103" t="s">
        <v>0</v>
      </c>
      <c r="B114" s="104"/>
      <c r="C114" s="104"/>
      <c r="D114" s="104"/>
      <c r="E114" s="104"/>
      <c r="F114" s="104"/>
      <c r="G114" s="104"/>
      <c r="H114" s="104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</row>
    <row r="115" spans="1:19" s="1" customFormat="1" ht="20" customHeight="1" x14ac:dyDescent="0.2">
      <c r="A115" s="105" t="s">
        <v>60</v>
      </c>
      <c r="B115" s="106"/>
      <c r="C115" s="106"/>
      <c r="D115" s="106"/>
      <c r="E115" s="106"/>
      <c r="F115" s="106"/>
      <c r="G115" s="106"/>
      <c r="H115" s="10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</row>
    <row r="116" spans="1:19" s="1" customFormat="1" ht="20" customHeight="1" x14ac:dyDescent="0.2">
      <c r="A116" s="107" t="s">
        <v>377</v>
      </c>
      <c r="B116" s="108"/>
      <c r="C116" s="108"/>
      <c r="D116" s="108"/>
      <c r="E116" s="108"/>
      <c r="F116" s="108"/>
      <c r="G116" s="108"/>
      <c r="H116" s="108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</row>
    <row r="117" spans="1:19" ht="17" x14ac:dyDescent="0.2">
      <c r="A117" s="109"/>
      <c r="B117" s="109"/>
      <c r="C117" s="109"/>
      <c r="D117" s="109"/>
      <c r="E117" s="109"/>
      <c r="F117" s="109"/>
      <c r="G117" s="109"/>
      <c r="H117" s="109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s="2" customFormat="1" ht="20" customHeight="1" x14ac:dyDescent="0.2">
      <c r="A118" s="110" t="s">
        <v>62</v>
      </c>
      <c r="B118" s="111"/>
      <c r="C118" s="111"/>
      <c r="D118" s="111"/>
      <c r="E118" s="111"/>
      <c r="F118" s="111"/>
      <c r="G118" s="111"/>
      <c r="H118" s="111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spans="1:19" s="2" customFormat="1" ht="20" customHeight="1" x14ac:dyDescent="0.2">
      <c r="A119" s="102" t="s">
        <v>63</v>
      </c>
      <c r="B119" s="102"/>
      <c r="C119" s="102"/>
      <c r="D119" s="102"/>
      <c r="E119" s="102"/>
      <c r="F119" s="102"/>
      <c r="G119" s="102"/>
      <c r="H119" s="102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spans="1:19" s="2" customFormat="1" ht="20" customHeight="1" x14ac:dyDescent="0.2">
      <c r="A120" s="8"/>
      <c r="B120" s="9"/>
      <c r="C120" s="9"/>
      <c r="D120" s="9"/>
      <c r="E120" s="9"/>
      <c r="F120" s="9"/>
      <c r="G120" s="9"/>
      <c r="H120" s="9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spans="1:19" s="3" customFormat="1" ht="24" customHeight="1" x14ac:dyDescent="0.2">
      <c r="A121" s="11" t="s">
        <v>64</v>
      </c>
      <c r="B121" s="12" t="s">
        <v>65</v>
      </c>
      <c r="C121" s="11" t="s">
        <v>66</v>
      </c>
      <c r="D121" s="12" t="s">
        <v>67</v>
      </c>
      <c r="E121" s="11" t="s">
        <v>68</v>
      </c>
      <c r="F121" s="11" t="s">
        <v>69</v>
      </c>
      <c r="G121" s="12" t="s">
        <v>70</v>
      </c>
      <c r="H121" s="11" t="s">
        <v>57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</row>
    <row r="122" spans="1:19" ht="30" customHeight="1" x14ac:dyDescent="0.2">
      <c r="A122" s="133" t="s">
        <v>225</v>
      </c>
      <c r="B122" s="134"/>
      <c r="C122" s="134"/>
      <c r="D122" s="134"/>
      <c r="E122" s="134"/>
      <c r="F122" s="135"/>
      <c r="G122" s="135"/>
      <c r="H122" s="136"/>
    </row>
    <row r="123" spans="1:19" ht="30" customHeight="1" x14ac:dyDescent="0.2">
      <c r="A123" s="37">
        <v>1</v>
      </c>
      <c r="B123" s="43" t="s">
        <v>226</v>
      </c>
      <c r="C123" s="37" t="s">
        <v>141</v>
      </c>
      <c r="D123" s="82" t="s">
        <v>81</v>
      </c>
      <c r="E123" s="53" t="s">
        <v>73</v>
      </c>
      <c r="F123" s="50" t="s">
        <v>227</v>
      </c>
      <c r="G123" s="50" t="s">
        <v>154</v>
      </c>
      <c r="H123" s="54" t="s">
        <v>154</v>
      </c>
    </row>
    <row r="124" spans="1:19" ht="58" customHeight="1" x14ac:dyDescent="0.2">
      <c r="A124" s="37">
        <v>2</v>
      </c>
      <c r="B124" s="43" t="s">
        <v>228</v>
      </c>
      <c r="C124" s="37" t="s">
        <v>72</v>
      </c>
      <c r="D124" s="37" t="s">
        <v>72</v>
      </c>
      <c r="E124" s="53" t="s">
        <v>73</v>
      </c>
      <c r="F124" s="50">
        <v>4550</v>
      </c>
      <c r="G124" s="50">
        <v>0</v>
      </c>
      <c r="H124" s="54">
        <f t="shared" ref="H124" si="5">(G124/F124)</f>
        <v>0</v>
      </c>
    </row>
    <row r="125" spans="1:19" ht="30" customHeight="1" x14ac:dyDescent="0.2">
      <c r="A125" s="37">
        <v>3</v>
      </c>
      <c r="B125" s="43" t="s">
        <v>229</v>
      </c>
      <c r="C125" s="37" t="s">
        <v>72</v>
      </c>
      <c r="D125" s="82" t="s">
        <v>81</v>
      </c>
      <c r="E125" s="53" t="s">
        <v>73</v>
      </c>
      <c r="F125" s="50">
        <v>5000</v>
      </c>
      <c r="G125" s="50">
        <v>4700</v>
      </c>
      <c r="H125" s="54">
        <f>(G125/F125)</f>
        <v>0.94</v>
      </c>
    </row>
    <row r="126" spans="1:19" ht="30" customHeight="1" x14ac:dyDescent="0.2">
      <c r="A126" s="133" t="s">
        <v>230</v>
      </c>
      <c r="B126" s="134"/>
      <c r="C126" s="134"/>
      <c r="D126" s="134"/>
      <c r="E126" s="134"/>
      <c r="F126" s="135"/>
      <c r="G126" s="135"/>
      <c r="H126" s="136"/>
    </row>
    <row r="127" spans="1:19" ht="30" customHeight="1" x14ac:dyDescent="0.2">
      <c r="A127" s="37">
        <v>1</v>
      </c>
      <c r="B127" s="43" t="s">
        <v>231</v>
      </c>
      <c r="C127" s="37" t="s">
        <v>72</v>
      </c>
      <c r="D127" s="37" t="s">
        <v>72</v>
      </c>
      <c r="E127" s="53" t="s">
        <v>73</v>
      </c>
      <c r="F127" s="50">
        <v>4550</v>
      </c>
      <c r="G127" s="50">
        <v>0</v>
      </c>
      <c r="H127" s="54">
        <f t="shared" ref="H127" si="6">(G127/F127)</f>
        <v>0</v>
      </c>
    </row>
    <row r="128" spans="1:19" ht="50" customHeight="1" x14ac:dyDescent="0.2">
      <c r="A128" s="37">
        <v>2</v>
      </c>
      <c r="B128" s="43" t="s">
        <v>232</v>
      </c>
      <c r="C128" s="37" t="s">
        <v>81</v>
      </c>
      <c r="D128" s="37" t="s">
        <v>81</v>
      </c>
      <c r="E128" s="53" t="s">
        <v>73</v>
      </c>
      <c r="F128" s="50">
        <v>12760</v>
      </c>
      <c r="G128" s="50">
        <v>7440</v>
      </c>
      <c r="H128" s="54">
        <f t="shared" ref="H128:H134" si="7">(G128/F128)</f>
        <v>0.58307210031347967</v>
      </c>
    </row>
    <row r="129" spans="1:8" ht="30" customHeight="1" x14ac:dyDescent="0.2">
      <c r="A129" s="37">
        <v>3</v>
      </c>
      <c r="B129" s="43" t="s">
        <v>233</v>
      </c>
      <c r="C129" s="37" t="s">
        <v>81</v>
      </c>
      <c r="D129" s="37" t="s">
        <v>81</v>
      </c>
      <c r="E129" s="53" t="s">
        <v>73</v>
      </c>
      <c r="F129" s="50">
        <v>4550</v>
      </c>
      <c r="G129" s="50">
        <v>4200</v>
      </c>
      <c r="H129" s="54">
        <f t="shared" si="7"/>
        <v>0.92307692307692313</v>
      </c>
    </row>
    <row r="130" spans="1:8" ht="30" customHeight="1" x14ac:dyDescent="0.2">
      <c r="A130" s="37">
        <v>4</v>
      </c>
      <c r="B130" s="43" t="s">
        <v>234</v>
      </c>
      <c r="C130" s="37" t="s">
        <v>378</v>
      </c>
      <c r="D130" s="82" t="s">
        <v>379</v>
      </c>
      <c r="E130" s="37" t="s">
        <v>89</v>
      </c>
      <c r="F130" s="50" t="s">
        <v>154</v>
      </c>
      <c r="G130" s="50" t="s">
        <v>154</v>
      </c>
      <c r="H130" s="54" t="s">
        <v>154</v>
      </c>
    </row>
    <row r="131" spans="1:8" ht="30" customHeight="1" x14ac:dyDescent="0.2">
      <c r="A131" s="133" t="s">
        <v>235</v>
      </c>
      <c r="B131" s="134"/>
      <c r="C131" s="134"/>
      <c r="D131" s="134"/>
      <c r="E131" s="134"/>
      <c r="F131" s="135"/>
      <c r="G131" s="135"/>
      <c r="H131" s="136"/>
    </row>
    <row r="132" spans="1:8" ht="54" customHeight="1" x14ac:dyDescent="0.2">
      <c r="A132" s="37">
        <v>1</v>
      </c>
      <c r="B132" s="43" t="s">
        <v>236</v>
      </c>
      <c r="C132" s="37" t="s">
        <v>84</v>
      </c>
      <c r="D132" s="82" t="s">
        <v>87</v>
      </c>
      <c r="E132" s="86" t="s">
        <v>73</v>
      </c>
      <c r="F132" s="50">
        <v>4550</v>
      </c>
      <c r="G132" s="50">
        <v>4375</v>
      </c>
      <c r="H132" s="54">
        <f t="shared" si="7"/>
        <v>0.96153846153846156</v>
      </c>
    </row>
    <row r="133" spans="1:8" ht="51" customHeight="1" x14ac:dyDescent="0.2">
      <c r="A133" s="37">
        <v>2</v>
      </c>
      <c r="B133" s="43" t="s">
        <v>237</v>
      </c>
      <c r="C133" s="37" t="s">
        <v>84</v>
      </c>
      <c r="D133" s="82" t="s">
        <v>87</v>
      </c>
      <c r="E133" s="86" t="s">
        <v>73</v>
      </c>
      <c r="F133" s="50">
        <v>4550</v>
      </c>
      <c r="G133" s="50">
        <v>0</v>
      </c>
      <c r="H133" s="54">
        <f t="shared" si="7"/>
        <v>0</v>
      </c>
    </row>
    <row r="134" spans="1:8" ht="30" customHeight="1" x14ac:dyDescent="0.2">
      <c r="A134" s="37">
        <v>3</v>
      </c>
      <c r="B134" s="43" t="s">
        <v>238</v>
      </c>
      <c r="C134" s="37" t="s">
        <v>84</v>
      </c>
      <c r="D134" s="82" t="s">
        <v>87</v>
      </c>
      <c r="E134" s="86" t="s">
        <v>73</v>
      </c>
      <c r="F134" s="50">
        <v>6150</v>
      </c>
      <c r="G134" s="50">
        <v>0</v>
      </c>
      <c r="H134" s="54">
        <f t="shared" si="7"/>
        <v>0</v>
      </c>
    </row>
    <row r="135" spans="1:8" s="42" customFormat="1" ht="15" customHeight="1" x14ac:dyDescent="0.2">
      <c r="A135" s="59"/>
      <c r="B135" s="59"/>
      <c r="C135" s="59"/>
      <c r="D135" s="59"/>
      <c r="E135" s="59"/>
      <c r="F135" s="60"/>
      <c r="G135" s="60"/>
      <c r="H135" s="59"/>
    </row>
    <row r="136" spans="1:8" s="42" customFormat="1" ht="15" customHeight="1" x14ac:dyDescent="0.2">
      <c r="A136" s="59"/>
      <c r="B136" s="59"/>
      <c r="C136" s="59"/>
      <c r="D136" s="59"/>
      <c r="E136" s="59"/>
      <c r="F136" s="60"/>
      <c r="G136" s="60"/>
      <c r="H136" s="59"/>
    </row>
    <row r="137" spans="1:8" s="42" customFormat="1" ht="15" customHeight="1" x14ac:dyDescent="0.2">
      <c r="A137" s="59"/>
      <c r="B137" s="59"/>
      <c r="C137" s="59"/>
      <c r="D137" s="59"/>
      <c r="E137" s="59"/>
      <c r="F137" s="60"/>
      <c r="G137" s="60"/>
      <c r="H137" s="59"/>
    </row>
    <row r="138" spans="1:8" s="42" customFormat="1" ht="15" customHeight="1" x14ac:dyDescent="0.2">
      <c r="A138" s="59"/>
      <c r="B138" s="59"/>
      <c r="C138" s="59"/>
      <c r="D138" s="59"/>
      <c r="E138" s="59"/>
      <c r="F138" s="60"/>
      <c r="G138" s="60"/>
      <c r="H138" s="59"/>
    </row>
    <row r="139" spans="1:8" s="42" customFormat="1" ht="15" customHeight="1" x14ac:dyDescent="0.2">
      <c r="A139" s="59"/>
      <c r="B139" s="59"/>
      <c r="C139" s="59"/>
      <c r="D139" s="59"/>
      <c r="E139" s="59"/>
      <c r="F139" s="60"/>
      <c r="G139" s="60"/>
      <c r="H139" s="59"/>
    </row>
    <row r="140" spans="1:8" s="42" customFormat="1" ht="15" customHeight="1" x14ac:dyDescent="0.2">
      <c r="A140" s="59"/>
      <c r="B140" s="59"/>
      <c r="C140" s="59"/>
      <c r="D140" s="59"/>
      <c r="E140" s="59"/>
      <c r="F140" s="60"/>
      <c r="G140" s="60"/>
      <c r="H140" s="59"/>
    </row>
    <row r="141" spans="1:8" s="42" customFormat="1" ht="15" customHeight="1" x14ac:dyDescent="0.2">
      <c r="A141" s="59"/>
      <c r="B141" s="59"/>
      <c r="C141" s="59"/>
      <c r="D141" s="59"/>
      <c r="E141" s="59"/>
      <c r="F141" s="60"/>
      <c r="G141" s="60"/>
      <c r="H141" s="59"/>
    </row>
    <row r="142" spans="1:8" s="42" customFormat="1" ht="15" customHeight="1" x14ac:dyDescent="0.2">
      <c r="A142" s="59"/>
      <c r="B142" s="59"/>
      <c r="C142" s="59"/>
      <c r="D142" s="59"/>
      <c r="E142" s="59"/>
      <c r="F142" s="60"/>
      <c r="G142" s="60"/>
      <c r="H142" s="59"/>
    </row>
    <row r="143" spans="1:8" s="42" customFormat="1" ht="15" customHeight="1" x14ac:dyDescent="0.2">
      <c r="A143" s="59"/>
      <c r="B143" s="59"/>
      <c r="C143" s="59"/>
      <c r="D143" s="59"/>
      <c r="E143" s="59"/>
      <c r="F143" s="60"/>
      <c r="G143" s="60"/>
      <c r="H143" s="59"/>
    </row>
    <row r="144" spans="1:8" s="42" customFormat="1" ht="15" customHeight="1" x14ac:dyDescent="0.2">
      <c r="A144" s="59"/>
      <c r="B144" s="59"/>
      <c r="C144" s="59"/>
      <c r="D144" s="59"/>
      <c r="E144" s="59"/>
      <c r="F144" s="60"/>
      <c r="G144" s="60"/>
      <c r="H144" s="59"/>
    </row>
    <row r="145" spans="1:19" s="42" customFormat="1" ht="15" customHeight="1" x14ac:dyDescent="0.2">
      <c r="A145" s="59"/>
      <c r="B145" s="59"/>
      <c r="C145" s="59"/>
      <c r="D145" s="59"/>
      <c r="E145" s="59"/>
      <c r="F145" s="60"/>
      <c r="G145" s="60"/>
      <c r="H145" s="59"/>
    </row>
    <row r="146" spans="1:19" s="42" customFormat="1" ht="15" customHeight="1" x14ac:dyDescent="0.2">
      <c r="A146" s="59"/>
      <c r="B146" s="59"/>
      <c r="C146" s="59"/>
      <c r="D146" s="59"/>
      <c r="E146" s="59"/>
      <c r="F146" s="60"/>
      <c r="G146" s="60"/>
      <c r="H146" s="59"/>
    </row>
    <row r="147" spans="1:19" s="42" customFormat="1" ht="15" customHeight="1" x14ac:dyDescent="0.2">
      <c r="A147" s="59"/>
      <c r="B147" s="59"/>
      <c r="C147" s="59"/>
      <c r="D147" s="59"/>
      <c r="E147" s="59"/>
      <c r="F147" s="60"/>
      <c r="G147" s="60"/>
      <c r="H147" s="59"/>
    </row>
    <row r="148" spans="1:19" s="1" customFormat="1" ht="20" customHeight="1" x14ac:dyDescent="0.2">
      <c r="A148" s="103" t="s">
        <v>0</v>
      </c>
      <c r="B148" s="104"/>
      <c r="C148" s="104"/>
      <c r="D148" s="104"/>
      <c r="E148" s="104"/>
      <c r="F148" s="104"/>
      <c r="G148" s="104"/>
      <c r="H148" s="104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</row>
    <row r="149" spans="1:19" s="1" customFormat="1" ht="20" customHeight="1" x14ac:dyDescent="0.2">
      <c r="A149" s="105" t="s">
        <v>60</v>
      </c>
      <c r="B149" s="106"/>
      <c r="C149" s="106"/>
      <c r="D149" s="106"/>
      <c r="E149" s="106"/>
      <c r="F149" s="106"/>
      <c r="G149" s="106"/>
      <c r="H149" s="10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</row>
    <row r="150" spans="1:19" s="1" customFormat="1" ht="20" customHeight="1" x14ac:dyDescent="0.2">
      <c r="A150" s="107" t="s">
        <v>380</v>
      </c>
      <c r="B150" s="108"/>
      <c r="C150" s="108"/>
      <c r="D150" s="108"/>
      <c r="E150" s="108"/>
      <c r="F150" s="108"/>
      <c r="G150" s="108"/>
      <c r="H150" s="108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</row>
    <row r="151" spans="1:19" ht="17" x14ac:dyDescent="0.2">
      <c r="A151" s="109"/>
      <c r="B151" s="109"/>
      <c r="C151" s="109"/>
      <c r="D151" s="109"/>
      <c r="E151" s="109"/>
      <c r="F151" s="109"/>
      <c r="G151" s="109"/>
      <c r="H151" s="109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s="2" customFormat="1" ht="20" customHeight="1" x14ac:dyDescent="0.2">
      <c r="A152" s="110" t="s">
        <v>62</v>
      </c>
      <c r="B152" s="111"/>
      <c r="C152" s="111"/>
      <c r="D152" s="111"/>
      <c r="E152" s="111"/>
      <c r="F152" s="111"/>
      <c r="G152" s="111"/>
      <c r="H152" s="111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spans="1:19" s="2" customFormat="1" ht="20" customHeight="1" x14ac:dyDescent="0.2">
      <c r="A153" s="102" t="s">
        <v>63</v>
      </c>
      <c r="B153" s="102"/>
      <c r="C153" s="102"/>
      <c r="D153" s="102"/>
      <c r="E153" s="102"/>
      <c r="F153" s="102"/>
      <c r="G153" s="102"/>
      <c r="H153" s="10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spans="1:19" s="2" customFormat="1" ht="20" customHeight="1" x14ac:dyDescent="0.2">
      <c r="A154" s="8"/>
      <c r="B154" s="9"/>
      <c r="C154" s="9"/>
      <c r="D154" s="9"/>
      <c r="E154" s="9"/>
      <c r="F154" s="9"/>
      <c r="G154" s="9"/>
      <c r="H154" s="9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spans="1:19" s="3" customFormat="1" ht="24" customHeight="1" x14ac:dyDescent="0.2">
      <c r="A155" s="11" t="s">
        <v>64</v>
      </c>
      <c r="B155" s="12" t="s">
        <v>65</v>
      </c>
      <c r="C155" s="11" t="s">
        <v>66</v>
      </c>
      <c r="D155" s="12" t="s">
        <v>67</v>
      </c>
      <c r="E155" s="11" t="s">
        <v>68</v>
      </c>
      <c r="F155" s="11" t="s">
        <v>69</v>
      </c>
      <c r="G155" s="12" t="s">
        <v>70</v>
      </c>
      <c r="H155" s="11" t="s">
        <v>57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</row>
    <row r="156" spans="1:19" ht="30" customHeight="1" x14ac:dyDescent="0.2">
      <c r="A156" s="137" t="s">
        <v>239</v>
      </c>
      <c r="B156" s="138"/>
      <c r="C156" s="138"/>
      <c r="D156" s="138"/>
      <c r="E156" s="138"/>
      <c r="F156" s="139"/>
      <c r="G156" s="139"/>
      <c r="H156" s="140"/>
    </row>
    <row r="157" spans="1:19" s="5" customFormat="1" ht="48" customHeight="1" x14ac:dyDescent="0.2">
      <c r="A157" s="37">
        <v>1</v>
      </c>
      <c r="B157" s="43" t="s">
        <v>201</v>
      </c>
      <c r="C157" s="37" t="s">
        <v>72</v>
      </c>
      <c r="D157" s="37" t="s">
        <v>72</v>
      </c>
      <c r="E157" s="53" t="s">
        <v>73</v>
      </c>
      <c r="F157" s="50" t="s">
        <v>154</v>
      </c>
      <c r="G157" s="50" t="s">
        <v>154</v>
      </c>
      <c r="H157" s="50" t="s">
        <v>154</v>
      </c>
    </row>
    <row r="158" spans="1:19" ht="85" customHeight="1" x14ac:dyDescent="0.2">
      <c r="A158" s="37">
        <v>2</v>
      </c>
      <c r="B158" s="43" t="s">
        <v>240</v>
      </c>
      <c r="C158" s="37" t="s">
        <v>72</v>
      </c>
      <c r="D158" s="82" t="s">
        <v>81</v>
      </c>
      <c r="E158" s="53" t="s">
        <v>73</v>
      </c>
      <c r="F158" s="50">
        <v>15600</v>
      </c>
      <c r="G158" s="50">
        <v>13800</v>
      </c>
      <c r="H158" s="54">
        <f t="shared" ref="H158:H161" si="8">(G158/F158)</f>
        <v>0.88461538461538458</v>
      </c>
    </row>
    <row r="159" spans="1:19" ht="60" customHeight="1" x14ac:dyDescent="0.2">
      <c r="A159" s="37">
        <v>3</v>
      </c>
      <c r="B159" s="43" t="s">
        <v>241</v>
      </c>
      <c r="C159" s="37" t="s">
        <v>72</v>
      </c>
      <c r="D159" s="82" t="s">
        <v>84</v>
      </c>
      <c r="E159" s="53" t="s">
        <v>73</v>
      </c>
      <c r="F159" s="50">
        <v>5850</v>
      </c>
      <c r="G159" s="50">
        <v>5400</v>
      </c>
      <c r="H159" s="54">
        <f t="shared" si="8"/>
        <v>0.92307692307692313</v>
      </c>
    </row>
    <row r="160" spans="1:19" ht="61" customHeight="1" x14ac:dyDescent="0.2">
      <c r="A160" s="37">
        <v>4</v>
      </c>
      <c r="B160" s="43" t="s">
        <v>242</v>
      </c>
      <c r="C160" s="37" t="s">
        <v>84</v>
      </c>
      <c r="D160" s="37" t="s">
        <v>84</v>
      </c>
      <c r="E160" s="53" t="s">
        <v>73</v>
      </c>
      <c r="F160" s="50">
        <v>5850</v>
      </c>
      <c r="G160" s="50">
        <v>5625</v>
      </c>
      <c r="H160" s="54">
        <f t="shared" si="8"/>
        <v>0.96153846153846156</v>
      </c>
    </row>
    <row r="161" spans="1:8" ht="74" customHeight="1" x14ac:dyDescent="0.2">
      <c r="A161" s="37">
        <v>5</v>
      </c>
      <c r="B161" s="43" t="s">
        <v>243</v>
      </c>
      <c r="C161" s="37" t="s">
        <v>87</v>
      </c>
      <c r="D161" s="82" t="s">
        <v>84</v>
      </c>
      <c r="E161" s="53" t="s">
        <v>73</v>
      </c>
      <c r="F161" s="50">
        <v>5850</v>
      </c>
      <c r="G161" s="50">
        <v>5400</v>
      </c>
      <c r="H161" s="54">
        <f t="shared" si="8"/>
        <v>0.92307692307692313</v>
      </c>
    </row>
    <row r="162" spans="1:8" ht="80" customHeight="1" x14ac:dyDescent="0.2">
      <c r="A162" s="37">
        <v>6</v>
      </c>
      <c r="B162" s="43" t="s">
        <v>244</v>
      </c>
      <c r="C162" s="37" t="s">
        <v>87</v>
      </c>
      <c r="D162" s="82" t="s">
        <v>84</v>
      </c>
      <c r="E162" s="53" t="s">
        <v>73</v>
      </c>
      <c r="F162" s="50" t="s">
        <v>154</v>
      </c>
      <c r="G162" s="50" t="s">
        <v>154</v>
      </c>
      <c r="H162" s="54" t="s">
        <v>154</v>
      </c>
    </row>
    <row r="163" spans="1:8" ht="123" customHeight="1" x14ac:dyDescent="0.2">
      <c r="A163" s="37">
        <v>7</v>
      </c>
      <c r="B163" s="43" t="s">
        <v>245</v>
      </c>
      <c r="C163" s="37" t="s">
        <v>87</v>
      </c>
      <c r="D163" s="82" t="s">
        <v>91</v>
      </c>
      <c r="E163" s="37" t="s">
        <v>89</v>
      </c>
      <c r="F163" s="50">
        <v>38200</v>
      </c>
      <c r="G163" s="50">
        <v>0</v>
      </c>
      <c r="H163" s="54">
        <f t="shared" ref="H163" si="9">(G163/F163)</f>
        <v>0</v>
      </c>
    </row>
    <row r="164" spans="1:8" ht="50" customHeight="1" x14ac:dyDescent="0.2">
      <c r="A164" s="89"/>
      <c r="B164" s="90"/>
      <c r="C164" s="89"/>
      <c r="D164" s="89"/>
      <c r="E164" s="89"/>
      <c r="F164" s="91"/>
      <c r="G164" s="91"/>
      <c r="H164" s="92"/>
    </row>
    <row r="165" spans="1:8" ht="28" hidden="1" customHeight="1" x14ac:dyDescent="0.2">
      <c r="A165" s="93"/>
      <c r="B165" s="94"/>
      <c r="C165" s="93"/>
      <c r="D165" s="93"/>
      <c r="E165" s="93"/>
      <c r="F165" s="95"/>
      <c r="G165" s="95"/>
      <c r="H165" s="96"/>
    </row>
    <row r="166" spans="1:8" ht="30" customHeight="1" x14ac:dyDescent="0.2">
      <c r="A166" s="133" t="s">
        <v>246</v>
      </c>
      <c r="B166" s="134"/>
      <c r="C166" s="134"/>
      <c r="D166" s="134"/>
      <c r="E166" s="134"/>
      <c r="F166" s="135"/>
      <c r="G166" s="135"/>
      <c r="H166" s="136"/>
    </row>
    <row r="167" spans="1:8" ht="54" customHeight="1" x14ac:dyDescent="0.2">
      <c r="A167" s="37">
        <v>1</v>
      </c>
      <c r="B167" s="43" t="s">
        <v>247</v>
      </c>
      <c r="C167" s="37" t="s">
        <v>248</v>
      </c>
      <c r="D167" s="82" t="s">
        <v>91</v>
      </c>
      <c r="E167" s="37" t="s">
        <v>89</v>
      </c>
      <c r="F167" s="50" t="s">
        <v>154</v>
      </c>
      <c r="G167" s="50" t="s">
        <v>154</v>
      </c>
      <c r="H167" s="54" t="s">
        <v>154</v>
      </c>
    </row>
    <row r="168" spans="1:8" ht="119" customHeight="1" x14ac:dyDescent="0.2">
      <c r="A168" s="37">
        <v>2</v>
      </c>
      <c r="B168" s="43" t="s">
        <v>249</v>
      </c>
      <c r="C168" s="37" t="s">
        <v>87</v>
      </c>
      <c r="D168" s="82" t="s">
        <v>91</v>
      </c>
      <c r="E168" s="37" t="s">
        <v>89</v>
      </c>
      <c r="F168" s="50">
        <v>5850</v>
      </c>
      <c r="G168" s="50">
        <v>0</v>
      </c>
      <c r="H168" s="54">
        <f t="shared" ref="H168" si="10">(G168/F168)</f>
        <v>0</v>
      </c>
    </row>
    <row r="169" spans="1:8" ht="106" customHeight="1" x14ac:dyDescent="0.2">
      <c r="A169" s="37">
        <v>3</v>
      </c>
      <c r="B169" s="43" t="s">
        <v>250</v>
      </c>
      <c r="C169" s="37" t="s">
        <v>91</v>
      </c>
      <c r="D169" s="37" t="s">
        <v>91</v>
      </c>
      <c r="E169" s="37" t="s">
        <v>89</v>
      </c>
      <c r="F169" s="50" t="s">
        <v>154</v>
      </c>
      <c r="G169" s="50" t="s">
        <v>154</v>
      </c>
      <c r="H169" s="54" t="s">
        <v>154</v>
      </c>
    </row>
    <row r="170" spans="1:8" ht="100" customHeight="1" x14ac:dyDescent="0.2">
      <c r="A170" s="37">
        <v>4</v>
      </c>
      <c r="B170" s="43" t="s">
        <v>251</v>
      </c>
      <c r="C170" s="37" t="s">
        <v>91</v>
      </c>
      <c r="D170" s="37" t="s">
        <v>91</v>
      </c>
      <c r="E170" s="37" t="s">
        <v>89</v>
      </c>
      <c r="F170" s="50" t="s">
        <v>154</v>
      </c>
      <c r="G170" s="50" t="s">
        <v>154</v>
      </c>
      <c r="H170" s="54" t="s">
        <v>154</v>
      </c>
    </row>
    <row r="200" spans="1:26" s="1" customFormat="1" ht="35" customHeight="1" x14ac:dyDescent="0.2">
      <c r="A200" s="103" t="s">
        <v>0</v>
      </c>
      <c r="B200" s="104"/>
      <c r="C200" s="104"/>
      <c r="D200" s="104"/>
      <c r="E200" s="104"/>
      <c r="F200" s="104"/>
      <c r="G200" s="104"/>
      <c r="H200" s="104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</row>
    <row r="201" spans="1:26" s="1" customFormat="1" ht="20" customHeight="1" x14ac:dyDescent="0.2">
      <c r="A201" s="105" t="s">
        <v>192</v>
      </c>
      <c r="B201" s="106"/>
      <c r="C201" s="106"/>
      <c r="D201" s="106"/>
      <c r="E201" s="106"/>
      <c r="F201" s="106"/>
      <c r="G201" s="106"/>
      <c r="H201" s="10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</row>
    <row r="202" spans="1:26" s="1" customFormat="1" ht="43" customHeight="1" x14ac:dyDescent="0.2">
      <c r="A202" s="109" t="s">
        <v>375</v>
      </c>
      <c r="B202" s="132"/>
      <c r="C202" s="132"/>
      <c r="D202" s="132"/>
      <c r="E202" s="132"/>
      <c r="F202" s="132"/>
      <c r="G202" s="132"/>
      <c r="H202" s="132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</row>
    <row r="203" spans="1:26" ht="17" x14ac:dyDescent="0.2">
      <c r="A203" s="109"/>
      <c r="B203" s="109"/>
      <c r="C203" s="109"/>
      <c r="D203" s="109"/>
      <c r="E203" s="109"/>
      <c r="F203" s="109"/>
      <c r="G203" s="109"/>
      <c r="H203" s="109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26" s="2" customFormat="1" ht="20" customHeight="1" x14ac:dyDescent="0.2">
      <c r="A204" s="110" t="s">
        <v>93</v>
      </c>
      <c r="B204" s="111"/>
      <c r="C204" s="111"/>
      <c r="D204" s="111"/>
      <c r="E204" s="111"/>
      <c r="F204" s="111"/>
      <c r="G204" s="111"/>
      <c r="H204" s="111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spans="1:26" s="2" customFormat="1" ht="20" customHeight="1" x14ac:dyDescent="0.2">
      <c r="A205" s="102" t="s">
        <v>94</v>
      </c>
      <c r="B205" s="102"/>
      <c r="C205" s="102"/>
      <c r="D205" s="102"/>
      <c r="E205" s="102"/>
      <c r="F205" s="102"/>
      <c r="G205" s="102"/>
      <c r="H205" s="102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spans="1:26" s="2" customFormat="1" ht="20" customHeight="1" x14ac:dyDescent="0.2">
      <c r="A206" s="8"/>
      <c r="B206" s="9"/>
      <c r="C206" s="9"/>
      <c r="D206" s="9"/>
      <c r="E206" s="9"/>
      <c r="F206" s="9"/>
      <c r="G206" s="9"/>
      <c r="H206" s="9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spans="1:26" s="41" customFormat="1" ht="24" customHeight="1" x14ac:dyDescent="0.2">
      <c r="A207" s="61" t="s">
        <v>64</v>
      </c>
      <c r="B207" s="62" t="s">
        <v>65</v>
      </c>
      <c r="C207" s="61" t="s">
        <v>95</v>
      </c>
      <c r="D207" s="62" t="s">
        <v>96</v>
      </c>
      <c r="E207" s="61" t="s">
        <v>97</v>
      </c>
      <c r="F207" s="63" t="s">
        <v>98</v>
      </c>
      <c r="G207" s="64" t="s">
        <v>99</v>
      </c>
      <c r="H207" s="61" t="s">
        <v>100</v>
      </c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2"/>
      <c r="U207" s="52"/>
      <c r="V207" s="52"/>
      <c r="W207" s="52"/>
      <c r="X207" s="52"/>
      <c r="Y207" s="52"/>
      <c r="Z207" s="52"/>
    </row>
    <row r="208" spans="1:26" s="41" customFormat="1" ht="24" customHeight="1" x14ac:dyDescent="0.2">
      <c r="A208" s="133" t="s">
        <v>200</v>
      </c>
      <c r="B208" s="134"/>
      <c r="C208" s="134"/>
      <c r="D208" s="134"/>
      <c r="E208" s="134"/>
      <c r="F208" s="135"/>
      <c r="G208" s="135"/>
      <c r="H208" s="136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2"/>
      <c r="U208" s="52"/>
      <c r="V208" s="52"/>
      <c r="W208" s="52"/>
      <c r="X208" s="52"/>
      <c r="Y208" s="52"/>
      <c r="Z208" s="52"/>
    </row>
    <row r="209" spans="1:26" s="41" customFormat="1" ht="46.5" customHeight="1" x14ac:dyDescent="0.2">
      <c r="A209" s="37">
        <v>1</v>
      </c>
      <c r="B209" s="43" t="s">
        <v>201</v>
      </c>
      <c r="C209" s="53" t="s">
        <v>102</v>
      </c>
      <c r="D209" s="53" t="s">
        <v>102</v>
      </c>
      <c r="E209" s="37" t="s">
        <v>101</v>
      </c>
      <c r="F209" s="53" t="s">
        <v>102</v>
      </c>
      <c r="G209" s="53" t="s">
        <v>102</v>
      </c>
      <c r="H209" s="37" t="s">
        <v>101</v>
      </c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7"/>
      <c r="U209" s="57"/>
      <c r="V209" s="57"/>
      <c r="W209" s="57"/>
      <c r="X209" s="57"/>
      <c r="Y209" s="57"/>
      <c r="Z209" s="57"/>
    </row>
    <row r="210" spans="1:26" s="41" customFormat="1" ht="46.5" customHeight="1" x14ac:dyDescent="0.2">
      <c r="A210" s="37">
        <v>2</v>
      </c>
      <c r="B210" s="43" t="s">
        <v>203</v>
      </c>
      <c r="C210" s="53" t="s">
        <v>102</v>
      </c>
      <c r="D210" s="53" t="s">
        <v>102</v>
      </c>
      <c r="E210" s="37" t="s">
        <v>101</v>
      </c>
      <c r="F210" s="53" t="s">
        <v>102</v>
      </c>
      <c r="G210" s="53" t="s">
        <v>102</v>
      </c>
      <c r="H210" s="37" t="s">
        <v>101</v>
      </c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7"/>
      <c r="U210" s="57"/>
      <c r="V210" s="57"/>
      <c r="W210" s="57"/>
      <c r="X210" s="57"/>
      <c r="Y210" s="57"/>
      <c r="Z210" s="57"/>
    </row>
    <row r="211" spans="1:26" s="41" customFormat="1" ht="46.5" customHeight="1" x14ac:dyDescent="0.2">
      <c r="A211" s="37">
        <v>3</v>
      </c>
      <c r="B211" s="43" t="s">
        <v>204</v>
      </c>
      <c r="C211" s="53" t="s">
        <v>102</v>
      </c>
      <c r="D211" s="53" t="s">
        <v>102</v>
      </c>
      <c r="E211" s="37" t="s">
        <v>101</v>
      </c>
      <c r="F211" s="53" t="s">
        <v>102</v>
      </c>
      <c r="G211" s="53" t="s">
        <v>102</v>
      </c>
      <c r="H211" s="37" t="s">
        <v>101</v>
      </c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7"/>
      <c r="U211" s="57"/>
      <c r="V211" s="57"/>
      <c r="W211" s="57"/>
      <c r="X211" s="57"/>
      <c r="Y211" s="57"/>
      <c r="Z211" s="57"/>
    </row>
    <row r="212" spans="1:26" s="41" customFormat="1" ht="46.5" customHeight="1" x14ac:dyDescent="0.2">
      <c r="A212" s="37">
        <v>4</v>
      </c>
      <c r="B212" s="43" t="s">
        <v>205</v>
      </c>
      <c r="C212" s="97" t="s">
        <v>194</v>
      </c>
      <c r="D212" s="97" t="s">
        <v>194</v>
      </c>
      <c r="E212" s="37" t="s">
        <v>101</v>
      </c>
      <c r="F212" s="53" t="s">
        <v>102</v>
      </c>
      <c r="G212" s="53" t="s">
        <v>102</v>
      </c>
      <c r="H212" s="37" t="s">
        <v>101</v>
      </c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7"/>
      <c r="U212" s="57"/>
      <c r="V212" s="57"/>
      <c r="W212" s="57"/>
      <c r="X212" s="57"/>
      <c r="Y212" s="57"/>
      <c r="Z212" s="57"/>
    </row>
    <row r="213" spans="1:26" s="41" customFormat="1" ht="46.5" customHeight="1" x14ac:dyDescent="0.2">
      <c r="A213" s="37">
        <v>5</v>
      </c>
      <c r="B213" s="43" t="s">
        <v>206</v>
      </c>
      <c r="C213" s="97" t="s">
        <v>194</v>
      </c>
      <c r="D213" s="97" t="s">
        <v>194</v>
      </c>
      <c r="E213" s="37" t="s">
        <v>101</v>
      </c>
      <c r="F213" s="53" t="s">
        <v>102</v>
      </c>
      <c r="G213" s="53" t="s">
        <v>102</v>
      </c>
      <c r="H213" s="37" t="s">
        <v>101</v>
      </c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7"/>
      <c r="U213" s="57"/>
      <c r="V213" s="57"/>
      <c r="W213" s="57"/>
      <c r="X213" s="57"/>
      <c r="Y213" s="57"/>
      <c r="Z213" s="57"/>
    </row>
    <row r="214" spans="1:26" s="41" customFormat="1" ht="24" customHeight="1" x14ac:dyDescent="0.2">
      <c r="A214" s="133" t="s">
        <v>208</v>
      </c>
      <c r="B214" s="134"/>
      <c r="C214" s="134"/>
      <c r="D214" s="134"/>
      <c r="E214" s="134"/>
      <c r="F214" s="135"/>
      <c r="G214" s="135"/>
      <c r="H214" s="136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46.5" customHeight="1" x14ac:dyDescent="0.2">
      <c r="A215" s="37">
        <v>5</v>
      </c>
      <c r="B215" s="43" t="s">
        <v>209</v>
      </c>
      <c r="C215" s="53" t="s">
        <v>102</v>
      </c>
      <c r="D215" s="53" t="s">
        <v>102</v>
      </c>
      <c r="E215" s="37" t="s">
        <v>101</v>
      </c>
      <c r="F215" s="53" t="s">
        <v>102</v>
      </c>
      <c r="G215" s="53" t="s">
        <v>102</v>
      </c>
      <c r="H215" s="37" t="s">
        <v>101</v>
      </c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7"/>
      <c r="U215" s="57"/>
      <c r="V215" s="57"/>
      <c r="W215" s="57"/>
      <c r="X215" s="57"/>
      <c r="Y215" s="57"/>
      <c r="Z215" s="57"/>
    </row>
    <row r="216" spans="1:26" s="41" customFormat="1" ht="46.5" customHeight="1" x14ac:dyDescent="0.2">
      <c r="A216" s="37">
        <v>6</v>
      </c>
      <c r="B216" s="43" t="s">
        <v>210</v>
      </c>
      <c r="C216" s="53" t="s">
        <v>102</v>
      </c>
      <c r="D216" s="53" t="s">
        <v>102</v>
      </c>
      <c r="E216" s="37" t="s">
        <v>101</v>
      </c>
      <c r="F216" s="53" t="s">
        <v>102</v>
      </c>
      <c r="G216" s="53" t="s">
        <v>102</v>
      </c>
      <c r="H216" s="53" t="s">
        <v>102</v>
      </c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7</v>
      </c>
      <c r="B217" s="43" t="s">
        <v>211</v>
      </c>
      <c r="C217" s="53" t="s">
        <v>102</v>
      </c>
      <c r="D217" s="97" t="s">
        <v>194</v>
      </c>
      <c r="E217" s="37" t="s">
        <v>101</v>
      </c>
      <c r="F217" s="37" t="s">
        <v>103</v>
      </c>
      <c r="G217" s="37" t="s">
        <v>103</v>
      </c>
      <c r="H217" s="53" t="s">
        <v>102</v>
      </c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8</v>
      </c>
      <c r="B218" s="43" t="s">
        <v>212</v>
      </c>
      <c r="C218" s="53" t="s">
        <v>102</v>
      </c>
      <c r="D218" s="97" t="s">
        <v>194</v>
      </c>
      <c r="E218" s="37" t="s">
        <v>101</v>
      </c>
      <c r="F218" s="37" t="s">
        <v>103</v>
      </c>
      <c r="G218" s="37" t="s">
        <v>103</v>
      </c>
      <c r="H218" s="53" t="s">
        <v>102</v>
      </c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46.5" customHeight="1" x14ac:dyDescent="0.2">
      <c r="A219" s="37">
        <v>9</v>
      </c>
      <c r="B219" s="43" t="s">
        <v>252</v>
      </c>
      <c r="C219" s="53" t="s">
        <v>102</v>
      </c>
      <c r="D219" s="97" t="s">
        <v>194</v>
      </c>
      <c r="E219" s="37" t="s">
        <v>101</v>
      </c>
      <c r="F219" s="37" t="s">
        <v>103</v>
      </c>
      <c r="G219" s="37" t="s">
        <v>103</v>
      </c>
      <c r="H219" s="53" t="s">
        <v>102</v>
      </c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7"/>
      <c r="U219" s="57"/>
      <c r="V219" s="57"/>
      <c r="W219" s="57"/>
      <c r="X219" s="57"/>
      <c r="Y219" s="57"/>
      <c r="Z219" s="57"/>
    </row>
    <row r="226" spans="1:26" s="1" customFormat="1" ht="20" customHeight="1" x14ac:dyDescent="0.2">
      <c r="A226" s="103" t="s">
        <v>0</v>
      </c>
      <c r="B226" s="104"/>
      <c r="C226" s="104"/>
      <c r="D226" s="104"/>
      <c r="E226" s="104"/>
      <c r="F226" s="104"/>
      <c r="G226" s="104"/>
      <c r="H226" s="104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</row>
    <row r="227" spans="1:26" s="1" customFormat="1" ht="20" customHeight="1" x14ac:dyDescent="0.2">
      <c r="A227" s="105" t="s">
        <v>60</v>
      </c>
      <c r="B227" s="106"/>
      <c r="C227" s="106"/>
      <c r="D227" s="106"/>
      <c r="E227" s="106"/>
      <c r="F227" s="106"/>
      <c r="G227" s="106"/>
      <c r="H227" s="10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</row>
    <row r="228" spans="1:26" s="1" customFormat="1" ht="20" customHeight="1" x14ac:dyDescent="0.2">
      <c r="A228" s="107" t="s">
        <v>376</v>
      </c>
      <c r="B228" s="108"/>
      <c r="C228" s="108"/>
      <c r="D228" s="108"/>
      <c r="E228" s="108"/>
      <c r="F228" s="108"/>
      <c r="G228" s="108"/>
      <c r="H228" s="108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</row>
    <row r="229" spans="1:26" ht="12" customHeight="1" x14ac:dyDescent="0.2">
      <c r="A229" s="109"/>
      <c r="B229" s="109"/>
      <c r="C229" s="109"/>
      <c r="D229" s="109"/>
      <c r="E229" s="109"/>
      <c r="F229" s="109"/>
      <c r="G229" s="109"/>
      <c r="H229" s="109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26" s="2" customFormat="1" ht="20" customHeight="1" x14ac:dyDescent="0.2">
      <c r="A230" s="110" t="s">
        <v>93</v>
      </c>
      <c r="B230" s="111"/>
      <c r="C230" s="111"/>
      <c r="D230" s="111"/>
      <c r="E230" s="111"/>
      <c r="F230" s="111"/>
      <c r="G230" s="111"/>
      <c r="H230" s="111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spans="1:26" s="2" customFormat="1" ht="20" customHeight="1" x14ac:dyDescent="0.2">
      <c r="A231" s="102" t="s">
        <v>94</v>
      </c>
      <c r="B231" s="102"/>
      <c r="C231" s="102"/>
      <c r="D231" s="102"/>
      <c r="E231" s="102"/>
      <c r="F231" s="102"/>
      <c r="G231" s="102"/>
      <c r="H231" s="102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spans="1:26" s="2" customFormat="1" ht="6" customHeight="1" x14ac:dyDescent="0.2">
      <c r="A232" s="8"/>
      <c r="B232" s="9"/>
      <c r="C232" s="9"/>
      <c r="D232" s="9"/>
      <c r="E232" s="9"/>
      <c r="F232" s="9"/>
      <c r="G232" s="9"/>
      <c r="H232" s="9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spans="1:26" s="3" customFormat="1" ht="24" customHeight="1" x14ac:dyDescent="0.2">
      <c r="A233" s="61" t="s">
        <v>64</v>
      </c>
      <c r="B233" s="62" t="s">
        <v>65</v>
      </c>
      <c r="C233" s="61" t="s">
        <v>95</v>
      </c>
      <c r="D233" s="62" t="s">
        <v>96</v>
      </c>
      <c r="E233" s="61" t="s">
        <v>97</v>
      </c>
      <c r="F233" s="63" t="s">
        <v>98</v>
      </c>
      <c r="G233" s="64" t="s">
        <v>99</v>
      </c>
      <c r="H233" s="61" t="s">
        <v>100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1:26" s="41" customFormat="1" ht="24" customHeight="1" x14ac:dyDescent="0.2">
      <c r="A234" s="133" t="s">
        <v>213</v>
      </c>
      <c r="B234" s="134"/>
      <c r="C234" s="134"/>
      <c r="D234" s="134"/>
      <c r="E234" s="134"/>
      <c r="F234" s="135"/>
      <c r="G234" s="135"/>
      <c r="H234" s="136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2"/>
      <c r="U234" s="52"/>
      <c r="V234" s="52"/>
      <c r="W234" s="52"/>
      <c r="X234" s="52"/>
      <c r="Y234" s="52"/>
      <c r="Z234" s="52"/>
    </row>
    <row r="235" spans="1:26" s="41" customFormat="1" ht="32" customHeight="1" x14ac:dyDescent="0.2">
      <c r="A235" s="37">
        <v>1</v>
      </c>
      <c r="B235" s="43" t="s">
        <v>201</v>
      </c>
      <c r="C235" s="53" t="s">
        <v>102</v>
      </c>
      <c r="D235" s="53" t="s">
        <v>102</v>
      </c>
      <c r="E235" s="37" t="s">
        <v>101</v>
      </c>
      <c r="F235" s="53" t="s">
        <v>102</v>
      </c>
      <c r="G235" s="53" t="s">
        <v>102</v>
      </c>
      <c r="H235" s="37" t="s">
        <v>101</v>
      </c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7"/>
      <c r="U235" s="57"/>
      <c r="V235" s="57"/>
      <c r="W235" s="57"/>
      <c r="X235" s="57"/>
      <c r="Y235" s="57"/>
      <c r="Z235" s="57"/>
    </row>
    <row r="236" spans="1:26" s="41" customFormat="1" ht="28" customHeight="1" x14ac:dyDescent="0.2">
      <c r="A236" s="37">
        <v>2</v>
      </c>
      <c r="B236" s="43" t="s">
        <v>216</v>
      </c>
      <c r="C236" s="53" t="s">
        <v>102</v>
      </c>
      <c r="D236" s="53" t="s">
        <v>102</v>
      </c>
      <c r="E236" s="37" t="s">
        <v>101</v>
      </c>
      <c r="F236" s="53" t="s">
        <v>102</v>
      </c>
      <c r="G236" s="53" t="s">
        <v>102</v>
      </c>
      <c r="H236" s="37" t="s">
        <v>101</v>
      </c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7"/>
      <c r="U236" s="57"/>
      <c r="V236" s="57"/>
      <c r="W236" s="57"/>
      <c r="X236" s="57"/>
      <c r="Y236" s="57"/>
      <c r="Z236" s="57"/>
    </row>
    <row r="237" spans="1:26" s="41" customFormat="1" ht="24" customHeight="1" x14ac:dyDescent="0.2">
      <c r="A237" s="133" t="s">
        <v>217</v>
      </c>
      <c r="B237" s="134"/>
      <c r="C237" s="134"/>
      <c r="D237" s="134"/>
      <c r="E237" s="134"/>
      <c r="F237" s="135"/>
      <c r="G237" s="135"/>
      <c r="H237" s="136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2"/>
      <c r="U237" s="52"/>
      <c r="V237" s="52"/>
      <c r="W237" s="52"/>
      <c r="X237" s="52"/>
      <c r="Y237" s="52"/>
      <c r="Z237" s="52"/>
    </row>
    <row r="238" spans="1:26" s="41" customFormat="1" ht="46.5" customHeight="1" x14ac:dyDescent="0.2">
      <c r="A238" s="37">
        <v>1</v>
      </c>
      <c r="B238" s="43" t="s">
        <v>218</v>
      </c>
      <c r="C238" s="53" t="s">
        <v>102</v>
      </c>
      <c r="D238" s="53" t="s">
        <v>102</v>
      </c>
      <c r="E238" s="37" t="s">
        <v>101</v>
      </c>
      <c r="F238" s="53" t="s">
        <v>102</v>
      </c>
      <c r="G238" s="53" t="s">
        <v>102</v>
      </c>
      <c r="H238" s="37" t="s">
        <v>101</v>
      </c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7"/>
      <c r="U238" s="57"/>
      <c r="V238" s="57"/>
      <c r="W238" s="57"/>
      <c r="X238" s="57"/>
      <c r="Y238" s="57"/>
      <c r="Z238" s="57"/>
    </row>
    <row r="239" spans="1:26" s="41" customFormat="1" ht="46.5" customHeight="1" x14ac:dyDescent="0.2">
      <c r="A239" s="37">
        <v>2</v>
      </c>
      <c r="B239" s="43" t="s">
        <v>219</v>
      </c>
      <c r="C239" s="53" t="s">
        <v>102</v>
      </c>
      <c r="D239" s="53" t="s">
        <v>102</v>
      </c>
      <c r="E239" s="37" t="s">
        <v>101</v>
      </c>
      <c r="F239" s="53" t="s">
        <v>102</v>
      </c>
      <c r="G239" s="53" t="s">
        <v>102</v>
      </c>
      <c r="H239" s="37" t="s">
        <v>101</v>
      </c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7"/>
      <c r="U239" s="57"/>
      <c r="V239" s="57"/>
      <c r="W239" s="57"/>
      <c r="X239" s="57"/>
      <c r="Y239" s="57"/>
      <c r="Z239" s="57"/>
    </row>
    <row r="240" spans="1:26" s="41" customFormat="1" ht="46.5" customHeight="1" x14ac:dyDescent="0.2">
      <c r="A240" s="37">
        <v>3</v>
      </c>
      <c r="B240" s="43" t="s">
        <v>220</v>
      </c>
      <c r="C240" s="53" t="s">
        <v>102</v>
      </c>
      <c r="D240" s="53" t="s">
        <v>102</v>
      </c>
      <c r="E240" s="37" t="s">
        <v>101</v>
      </c>
      <c r="F240" s="53" t="s">
        <v>102</v>
      </c>
      <c r="G240" s="53" t="s">
        <v>102</v>
      </c>
      <c r="H240" s="37" t="s">
        <v>101</v>
      </c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7"/>
      <c r="U240" s="57"/>
      <c r="V240" s="57"/>
      <c r="W240" s="57"/>
      <c r="X240" s="57"/>
      <c r="Y240" s="57"/>
      <c r="Z240" s="57"/>
    </row>
    <row r="241" spans="1:26" s="41" customFormat="1" ht="46.5" customHeight="1" x14ac:dyDescent="0.2">
      <c r="A241" s="37">
        <v>4</v>
      </c>
      <c r="B241" s="43" t="s">
        <v>221</v>
      </c>
      <c r="C241" s="37" t="s">
        <v>103</v>
      </c>
      <c r="D241" s="37" t="s">
        <v>103</v>
      </c>
      <c r="E241" s="37" t="s">
        <v>103</v>
      </c>
      <c r="F241" s="37" t="s">
        <v>103</v>
      </c>
      <c r="G241" s="37" t="s">
        <v>103</v>
      </c>
      <c r="H241" s="37" t="s">
        <v>103</v>
      </c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7"/>
      <c r="U241" s="57"/>
      <c r="V241" s="57"/>
      <c r="W241" s="57"/>
      <c r="X241" s="57"/>
      <c r="Y241" s="57"/>
      <c r="Z241" s="57"/>
    </row>
    <row r="242" spans="1:26" s="41" customFormat="1" ht="46.5" customHeight="1" x14ac:dyDescent="0.2">
      <c r="A242" s="37">
        <v>5</v>
      </c>
      <c r="B242" s="43" t="s">
        <v>222</v>
      </c>
      <c r="C242" s="53" t="s">
        <v>102</v>
      </c>
      <c r="D242" s="53" t="s">
        <v>102</v>
      </c>
      <c r="E242" s="37" t="s">
        <v>101</v>
      </c>
      <c r="F242" s="53" t="s">
        <v>102</v>
      </c>
      <c r="G242" s="53" t="s">
        <v>102</v>
      </c>
      <c r="H242" s="37" t="s">
        <v>101</v>
      </c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7"/>
      <c r="U242" s="57"/>
      <c r="V242" s="57"/>
      <c r="W242" s="57"/>
      <c r="X242" s="57"/>
      <c r="Y242" s="57"/>
      <c r="Z242" s="57"/>
    </row>
    <row r="243" spans="1:26" s="41" customFormat="1" ht="46.5" customHeight="1" x14ac:dyDescent="0.2">
      <c r="A243" s="37">
        <v>6</v>
      </c>
      <c r="B243" s="43" t="s">
        <v>223</v>
      </c>
      <c r="C243" s="53" t="s">
        <v>102</v>
      </c>
      <c r="D243" s="53" t="s">
        <v>102</v>
      </c>
      <c r="E243" s="37" t="s">
        <v>101</v>
      </c>
      <c r="F243" s="37" t="s">
        <v>103</v>
      </c>
      <c r="G243" s="37" t="s">
        <v>103</v>
      </c>
      <c r="H243" s="37" t="s">
        <v>101</v>
      </c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7"/>
      <c r="U243" s="57"/>
      <c r="V243" s="57"/>
      <c r="W243" s="57"/>
      <c r="X243" s="57"/>
      <c r="Y243" s="57"/>
      <c r="Z243" s="57"/>
    </row>
    <row r="244" spans="1:26" s="41" customFormat="1" ht="24" customHeight="1" x14ac:dyDescent="0.2">
      <c r="A244" s="133" t="s">
        <v>224</v>
      </c>
      <c r="B244" s="134"/>
      <c r="C244" s="134"/>
      <c r="D244" s="134"/>
      <c r="E244" s="134"/>
      <c r="F244" s="135"/>
      <c r="G244" s="135"/>
      <c r="H244" s="136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46.5" customHeight="1" x14ac:dyDescent="0.2">
      <c r="A245" s="37">
        <v>1</v>
      </c>
      <c r="B245" s="43" t="s">
        <v>218</v>
      </c>
      <c r="C245" s="53" t="s">
        <v>102</v>
      </c>
      <c r="D245" s="53" t="s">
        <v>102</v>
      </c>
      <c r="E245" s="37" t="s">
        <v>101</v>
      </c>
      <c r="F245" s="53" t="s">
        <v>102</v>
      </c>
      <c r="G245" s="53" t="s">
        <v>102</v>
      </c>
      <c r="H245" s="37" t="s">
        <v>101</v>
      </c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7"/>
      <c r="U245" s="57"/>
      <c r="V245" s="57"/>
      <c r="W245" s="57"/>
      <c r="X245" s="57"/>
      <c r="Y245" s="57"/>
      <c r="Z245" s="57"/>
    </row>
    <row r="246" spans="1:26" s="41" customFormat="1" ht="46.5" customHeight="1" x14ac:dyDescent="0.2">
      <c r="A246" s="37">
        <v>2</v>
      </c>
      <c r="B246" s="43" t="s">
        <v>219</v>
      </c>
      <c r="C246" s="53" t="s">
        <v>102</v>
      </c>
      <c r="D246" s="53" t="s">
        <v>102</v>
      </c>
      <c r="E246" s="37" t="s">
        <v>101</v>
      </c>
      <c r="F246" s="53" t="s">
        <v>102</v>
      </c>
      <c r="G246" s="53" t="s">
        <v>102</v>
      </c>
      <c r="H246" s="37" t="s">
        <v>101</v>
      </c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7"/>
      <c r="U246" s="57"/>
      <c r="V246" s="57"/>
      <c r="W246" s="57"/>
      <c r="X246" s="57"/>
      <c r="Y246" s="57"/>
      <c r="Z246" s="57"/>
    </row>
    <row r="247" spans="1:26" s="41" customFormat="1" ht="46.5" customHeight="1" x14ac:dyDescent="0.2">
      <c r="A247" s="37">
        <v>3</v>
      </c>
      <c r="B247" s="43" t="s">
        <v>220</v>
      </c>
      <c r="C247" s="53" t="s">
        <v>102</v>
      </c>
      <c r="D247" s="53" t="s">
        <v>102</v>
      </c>
      <c r="E247" s="37" t="s">
        <v>101</v>
      </c>
      <c r="F247" s="53" t="s">
        <v>102</v>
      </c>
      <c r="G247" s="53" t="s">
        <v>102</v>
      </c>
      <c r="H247" s="37" t="s">
        <v>101</v>
      </c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7"/>
      <c r="U247" s="57"/>
      <c r="V247" s="57"/>
      <c r="W247" s="57"/>
      <c r="X247" s="57"/>
      <c r="Y247" s="57"/>
      <c r="Z247" s="57"/>
    </row>
    <row r="248" spans="1:26" s="41" customFormat="1" ht="46.5" customHeight="1" x14ac:dyDescent="0.2">
      <c r="A248" s="37">
        <v>4</v>
      </c>
      <c r="B248" s="43" t="s">
        <v>221</v>
      </c>
      <c r="C248" s="37" t="s">
        <v>103</v>
      </c>
      <c r="D248" s="37" t="s">
        <v>103</v>
      </c>
      <c r="E248" s="37" t="s">
        <v>103</v>
      </c>
      <c r="F248" s="37" t="s">
        <v>103</v>
      </c>
      <c r="G248" s="37" t="s">
        <v>103</v>
      </c>
      <c r="H248" s="37" t="s">
        <v>103</v>
      </c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7"/>
      <c r="U248" s="57"/>
      <c r="V248" s="57"/>
      <c r="W248" s="57"/>
      <c r="X248" s="57"/>
      <c r="Y248" s="57"/>
      <c r="Z248" s="57"/>
    </row>
    <row r="249" spans="1:26" s="41" customFormat="1" ht="46.5" customHeight="1" x14ac:dyDescent="0.2">
      <c r="A249" s="37">
        <v>5</v>
      </c>
      <c r="B249" s="43" t="s">
        <v>222</v>
      </c>
      <c r="C249" s="53" t="s">
        <v>102</v>
      </c>
      <c r="D249" s="53" t="s">
        <v>102</v>
      </c>
      <c r="E249" s="37" t="s">
        <v>101</v>
      </c>
      <c r="F249" s="53" t="s">
        <v>102</v>
      </c>
      <c r="G249" s="53" t="s">
        <v>102</v>
      </c>
      <c r="H249" s="37" t="s">
        <v>101</v>
      </c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7"/>
      <c r="U249" s="57"/>
      <c r="V249" s="57"/>
      <c r="W249" s="57"/>
      <c r="X249" s="57"/>
      <c r="Y249" s="57"/>
      <c r="Z249" s="57"/>
    </row>
    <row r="250" spans="1:26" s="41" customFormat="1" ht="46.5" customHeight="1" x14ac:dyDescent="0.2">
      <c r="A250" s="37">
        <v>6</v>
      </c>
      <c r="B250" s="43" t="s">
        <v>223</v>
      </c>
      <c r="C250" s="53" t="s">
        <v>102</v>
      </c>
      <c r="D250" s="53" t="s">
        <v>102</v>
      </c>
      <c r="E250" s="37" t="s">
        <v>101</v>
      </c>
      <c r="F250" s="37" t="s">
        <v>103</v>
      </c>
      <c r="G250" s="37" t="s">
        <v>103</v>
      </c>
      <c r="H250" s="37" t="s">
        <v>101</v>
      </c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7"/>
      <c r="U250" s="57"/>
      <c r="V250" s="57"/>
      <c r="W250" s="57"/>
      <c r="X250" s="57"/>
      <c r="Y250" s="57"/>
      <c r="Z250" s="57"/>
    </row>
    <row r="251" spans="1:26" s="42" customFormat="1" ht="15" customHeight="1" x14ac:dyDescent="0.2">
      <c r="A251" s="59"/>
      <c r="B251" s="59"/>
      <c r="C251" s="59"/>
      <c r="D251" s="59"/>
      <c r="E251" s="59"/>
      <c r="F251" s="60"/>
      <c r="G251" s="60"/>
      <c r="H251" s="59"/>
    </row>
    <row r="252" spans="1:26" s="42" customFormat="1" ht="15" customHeight="1" x14ac:dyDescent="0.2">
      <c r="A252" s="59"/>
      <c r="B252" s="59"/>
      <c r="C252" s="59"/>
      <c r="D252" s="59"/>
      <c r="E252" s="59"/>
      <c r="F252" s="60"/>
      <c r="G252" s="60"/>
      <c r="H252" s="59"/>
    </row>
    <row r="253" spans="1:26" s="42" customFormat="1" ht="15" customHeight="1" x14ac:dyDescent="0.2">
      <c r="A253" s="59"/>
      <c r="B253" s="59"/>
      <c r="C253" s="59"/>
      <c r="D253" s="59"/>
      <c r="E253" s="59"/>
      <c r="F253" s="60"/>
      <c r="G253" s="60"/>
      <c r="H253" s="59"/>
    </row>
    <row r="254" spans="1:26" s="1" customFormat="1" ht="20" customHeight="1" x14ac:dyDescent="0.2">
      <c r="A254" s="103" t="s">
        <v>0</v>
      </c>
      <c r="B254" s="104"/>
      <c r="C254" s="104"/>
      <c r="D254" s="104"/>
      <c r="E254" s="104"/>
      <c r="F254" s="104"/>
      <c r="G254" s="104"/>
      <c r="H254" s="104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</row>
    <row r="255" spans="1:26" s="1" customFormat="1" ht="20" customHeight="1" x14ac:dyDescent="0.2">
      <c r="A255" s="105" t="s">
        <v>60</v>
      </c>
      <c r="B255" s="106"/>
      <c r="C255" s="106"/>
      <c r="D255" s="106"/>
      <c r="E255" s="106"/>
      <c r="F255" s="106"/>
      <c r="G255" s="106"/>
      <c r="H255" s="10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</row>
    <row r="256" spans="1:26" s="1" customFormat="1" ht="20" customHeight="1" x14ac:dyDescent="0.2">
      <c r="A256" s="107" t="s">
        <v>377</v>
      </c>
      <c r="B256" s="108"/>
      <c r="C256" s="108"/>
      <c r="D256" s="108"/>
      <c r="E256" s="108"/>
      <c r="F256" s="108"/>
      <c r="G256" s="108"/>
      <c r="H256" s="108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</row>
    <row r="257" spans="1:26" ht="17" x14ac:dyDescent="0.2">
      <c r="A257" s="109"/>
      <c r="B257" s="109"/>
      <c r="C257" s="109"/>
      <c r="D257" s="109"/>
      <c r="E257" s="109"/>
      <c r="F257" s="109"/>
      <c r="G257" s="109"/>
      <c r="H257" s="109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26" s="2" customFormat="1" ht="20" customHeight="1" x14ac:dyDescent="0.2">
      <c r="A258" s="110" t="s">
        <v>93</v>
      </c>
      <c r="B258" s="111"/>
      <c r="C258" s="111"/>
      <c r="D258" s="111"/>
      <c r="E258" s="111"/>
      <c r="F258" s="111"/>
      <c r="G258" s="111"/>
      <c r="H258" s="111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spans="1:26" s="2" customFormat="1" ht="20" customHeight="1" x14ac:dyDescent="0.2">
      <c r="A259" s="102" t="s">
        <v>94</v>
      </c>
      <c r="B259" s="102"/>
      <c r="C259" s="102"/>
      <c r="D259" s="102"/>
      <c r="E259" s="102"/>
      <c r="F259" s="102"/>
      <c r="G259" s="102"/>
      <c r="H259" s="102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spans="1:26" s="2" customFormat="1" ht="6" customHeight="1" x14ac:dyDescent="0.2">
      <c r="A260" s="100"/>
      <c r="B260" s="101"/>
      <c r="C260" s="101"/>
      <c r="D260" s="101"/>
      <c r="E260" s="101"/>
      <c r="F260" s="101"/>
      <c r="G260" s="101"/>
      <c r="H260" s="101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spans="1:26" s="3" customFormat="1" ht="24" customHeight="1" x14ac:dyDescent="0.2">
      <c r="A261" s="61" t="s">
        <v>64</v>
      </c>
      <c r="B261" s="62" t="s">
        <v>65</v>
      </c>
      <c r="C261" s="61" t="s">
        <v>95</v>
      </c>
      <c r="D261" s="62" t="s">
        <v>96</v>
      </c>
      <c r="E261" s="61" t="s">
        <v>97</v>
      </c>
      <c r="F261" s="63" t="s">
        <v>98</v>
      </c>
      <c r="G261" s="64" t="s">
        <v>99</v>
      </c>
      <c r="H261" s="61" t="s">
        <v>100</v>
      </c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1:26" s="41" customFormat="1" ht="24" customHeight="1" x14ac:dyDescent="0.2">
      <c r="A262" s="133" t="s">
        <v>225</v>
      </c>
      <c r="B262" s="134"/>
      <c r="C262" s="134"/>
      <c r="D262" s="134"/>
      <c r="E262" s="134"/>
      <c r="F262" s="135"/>
      <c r="G262" s="135"/>
      <c r="H262" s="136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2"/>
      <c r="U262" s="52"/>
      <c r="V262" s="52"/>
      <c r="W262" s="52"/>
      <c r="X262" s="52"/>
      <c r="Y262" s="52"/>
      <c r="Z262" s="52"/>
    </row>
    <row r="263" spans="1:26" s="41" customFormat="1" ht="46.5" customHeight="1" x14ac:dyDescent="0.2">
      <c r="A263" s="37">
        <v>1</v>
      </c>
      <c r="B263" s="43" t="s">
        <v>226</v>
      </c>
      <c r="C263" s="53" t="s">
        <v>102</v>
      </c>
      <c r="D263" s="53" t="s">
        <v>102</v>
      </c>
      <c r="E263" s="37" t="s">
        <v>101</v>
      </c>
      <c r="F263" s="53" t="s">
        <v>102</v>
      </c>
      <c r="G263" s="53" t="s">
        <v>102</v>
      </c>
      <c r="H263" s="37" t="s">
        <v>101</v>
      </c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7"/>
      <c r="U263" s="57"/>
      <c r="V263" s="57"/>
      <c r="W263" s="57"/>
      <c r="X263" s="57"/>
      <c r="Y263" s="57"/>
      <c r="Z263" s="57"/>
    </row>
    <row r="264" spans="1:26" s="41" customFormat="1" ht="46.5" customHeight="1" x14ac:dyDescent="0.2">
      <c r="A264" s="37">
        <v>2</v>
      </c>
      <c r="B264" s="43" t="s">
        <v>228</v>
      </c>
      <c r="C264" s="53" t="s">
        <v>102</v>
      </c>
      <c r="D264" s="53" t="s">
        <v>102</v>
      </c>
      <c r="E264" s="37" t="s">
        <v>101</v>
      </c>
      <c r="F264" s="53" t="s">
        <v>102</v>
      </c>
      <c r="G264" s="53" t="s">
        <v>102</v>
      </c>
      <c r="H264" s="37" t="s">
        <v>101</v>
      </c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7"/>
      <c r="U264" s="57"/>
      <c r="V264" s="57"/>
      <c r="W264" s="57"/>
      <c r="X264" s="57"/>
      <c r="Y264" s="57"/>
      <c r="Z264" s="57"/>
    </row>
    <row r="265" spans="1:26" s="41" customFormat="1" ht="46.5" customHeight="1" x14ac:dyDescent="0.2">
      <c r="A265" s="37">
        <v>3</v>
      </c>
      <c r="B265" s="43" t="s">
        <v>229</v>
      </c>
      <c r="C265" s="53" t="s">
        <v>102</v>
      </c>
      <c r="D265" s="53" t="s">
        <v>102</v>
      </c>
      <c r="E265" s="37" t="s">
        <v>101</v>
      </c>
      <c r="F265" s="53" t="s">
        <v>102</v>
      </c>
      <c r="G265" s="53" t="s">
        <v>102</v>
      </c>
      <c r="H265" s="37" t="s">
        <v>101</v>
      </c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7"/>
      <c r="U265" s="57"/>
      <c r="V265" s="57"/>
      <c r="W265" s="57"/>
      <c r="X265" s="57"/>
      <c r="Y265" s="57"/>
      <c r="Z265" s="57"/>
    </row>
    <row r="266" spans="1:26" s="41" customFormat="1" ht="24" customHeight="1" x14ac:dyDescent="0.2">
      <c r="A266" s="133" t="s">
        <v>230</v>
      </c>
      <c r="B266" s="134"/>
      <c r="C266" s="134"/>
      <c r="D266" s="134"/>
      <c r="E266" s="134"/>
      <c r="F266" s="135"/>
      <c r="G266" s="135"/>
      <c r="H266" s="136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46.5" customHeight="1" x14ac:dyDescent="0.2">
      <c r="A267" s="37">
        <v>1</v>
      </c>
      <c r="B267" s="43" t="s">
        <v>231</v>
      </c>
      <c r="C267" s="53" t="s">
        <v>102</v>
      </c>
      <c r="D267" s="53" t="s">
        <v>102</v>
      </c>
      <c r="E267" s="37" t="s">
        <v>101</v>
      </c>
      <c r="F267" s="53" t="s">
        <v>102</v>
      </c>
      <c r="G267" s="53" t="s">
        <v>102</v>
      </c>
      <c r="H267" s="37" t="s">
        <v>101</v>
      </c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7"/>
      <c r="U267" s="57"/>
      <c r="V267" s="57"/>
      <c r="W267" s="57"/>
      <c r="X267" s="57"/>
      <c r="Y267" s="57"/>
      <c r="Z267" s="57"/>
    </row>
    <row r="268" spans="1:26" s="41" customFormat="1" ht="46.5" customHeight="1" x14ac:dyDescent="0.2">
      <c r="A268" s="37">
        <v>2</v>
      </c>
      <c r="B268" s="43" t="s">
        <v>232</v>
      </c>
      <c r="C268" s="53" t="s">
        <v>102</v>
      </c>
      <c r="D268" s="53" t="s">
        <v>102</v>
      </c>
      <c r="E268" s="37" t="s">
        <v>101</v>
      </c>
      <c r="F268" s="53" t="s">
        <v>102</v>
      </c>
      <c r="G268" s="53" t="s">
        <v>102</v>
      </c>
      <c r="H268" s="37" t="s">
        <v>101</v>
      </c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7"/>
      <c r="U268" s="57"/>
      <c r="V268" s="57"/>
      <c r="W268" s="57"/>
      <c r="X268" s="57"/>
      <c r="Y268" s="57"/>
      <c r="Z268" s="57"/>
    </row>
    <row r="269" spans="1:26" s="41" customFormat="1" ht="46.5" customHeight="1" x14ac:dyDescent="0.2">
      <c r="A269" s="37">
        <v>3</v>
      </c>
      <c r="B269" s="43" t="s">
        <v>233</v>
      </c>
      <c r="C269" s="53" t="s">
        <v>102</v>
      </c>
      <c r="D269" s="53" t="s">
        <v>102</v>
      </c>
      <c r="E269" s="37" t="s">
        <v>101</v>
      </c>
      <c r="F269" s="53" t="s">
        <v>102</v>
      </c>
      <c r="G269" s="53" t="s">
        <v>102</v>
      </c>
      <c r="H269" s="37" t="s">
        <v>101</v>
      </c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7"/>
      <c r="U269" s="57"/>
      <c r="V269" s="57"/>
      <c r="W269" s="57"/>
      <c r="X269" s="57"/>
      <c r="Y269" s="57"/>
      <c r="Z269" s="57"/>
    </row>
    <row r="270" spans="1:26" s="41" customFormat="1" ht="46.5" customHeight="1" x14ac:dyDescent="0.2">
      <c r="A270" s="37">
        <v>4</v>
      </c>
      <c r="B270" s="43" t="s">
        <v>234</v>
      </c>
      <c r="C270" s="53" t="s">
        <v>102</v>
      </c>
      <c r="D270" s="53" t="s">
        <v>102</v>
      </c>
      <c r="E270" s="37" t="s">
        <v>101</v>
      </c>
      <c r="F270" s="53" t="s">
        <v>102</v>
      </c>
      <c r="G270" s="53" t="s">
        <v>102</v>
      </c>
      <c r="H270" s="37" t="s">
        <v>101</v>
      </c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7"/>
      <c r="U270" s="57"/>
      <c r="V270" s="57"/>
      <c r="W270" s="57"/>
      <c r="X270" s="57"/>
      <c r="Y270" s="57"/>
      <c r="Z270" s="57"/>
    </row>
    <row r="271" spans="1:26" s="41" customFormat="1" ht="24" customHeight="1" x14ac:dyDescent="0.2">
      <c r="A271" s="133" t="s">
        <v>235</v>
      </c>
      <c r="B271" s="134"/>
      <c r="C271" s="134"/>
      <c r="D271" s="134"/>
      <c r="E271" s="134"/>
      <c r="F271" s="135"/>
      <c r="G271" s="135"/>
      <c r="H271" s="136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6.5" customHeight="1" x14ac:dyDescent="0.2">
      <c r="A272" s="37">
        <v>1</v>
      </c>
      <c r="B272" s="43" t="s">
        <v>236</v>
      </c>
      <c r="C272" s="65" t="s">
        <v>155</v>
      </c>
      <c r="D272" s="65" t="s">
        <v>155</v>
      </c>
      <c r="E272" s="37" t="s">
        <v>103</v>
      </c>
      <c r="F272" s="50" t="s">
        <v>103</v>
      </c>
      <c r="G272" s="50" t="s">
        <v>103</v>
      </c>
      <c r="H272" s="53" t="s">
        <v>102</v>
      </c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7"/>
      <c r="U272" s="57"/>
      <c r="V272" s="57"/>
      <c r="W272" s="57"/>
      <c r="X272" s="57"/>
      <c r="Y272" s="57"/>
      <c r="Z272" s="57"/>
    </row>
    <row r="273" spans="1:26" s="41" customFormat="1" ht="46.5" customHeight="1" x14ac:dyDescent="0.2">
      <c r="A273" s="37">
        <v>2</v>
      </c>
      <c r="B273" s="43" t="s">
        <v>237</v>
      </c>
      <c r="C273" s="65" t="s">
        <v>155</v>
      </c>
      <c r="D273" s="65" t="s">
        <v>155</v>
      </c>
      <c r="E273" s="37" t="s">
        <v>103</v>
      </c>
      <c r="F273" s="50" t="s">
        <v>103</v>
      </c>
      <c r="G273" s="50" t="s">
        <v>103</v>
      </c>
      <c r="H273" s="53" t="s">
        <v>102</v>
      </c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7"/>
      <c r="U273" s="57"/>
      <c r="V273" s="57"/>
      <c r="W273" s="57"/>
      <c r="X273" s="57"/>
      <c r="Y273" s="57"/>
      <c r="Z273" s="57"/>
    </row>
    <row r="274" spans="1:26" s="41" customFormat="1" ht="46.5" customHeight="1" x14ac:dyDescent="0.2">
      <c r="A274" s="37">
        <v>3</v>
      </c>
      <c r="B274" s="43" t="s">
        <v>238</v>
      </c>
      <c r="C274" s="37" t="s">
        <v>103</v>
      </c>
      <c r="D274" s="37" t="s">
        <v>103</v>
      </c>
      <c r="E274" s="37" t="s">
        <v>103</v>
      </c>
      <c r="F274" s="50" t="s">
        <v>103</v>
      </c>
      <c r="G274" s="50" t="s">
        <v>103</v>
      </c>
      <c r="H274" s="37" t="s">
        <v>101</v>
      </c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7"/>
      <c r="U274" s="57"/>
      <c r="V274" s="57"/>
      <c r="W274" s="57"/>
      <c r="X274" s="57"/>
      <c r="Y274" s="57"/>
      <c r="Z274" s="57"/>
    </row>
    <row r="275" spans="1:26" s="42" customFormat="1" ht="15" customHeight="1" x14ac:dyDescent="0.2">
      <c r="A275" s="59"/>
      <c r="B275" s="59"/>
      <c r="C275" s="59"/>
      <c r="D275" s="59"/>
      <c r="E275" s="59"/>
      <c r="F275" s="60"/>
      <c r="G275" s="60"/>
      <c r="H275" s="59"/>
    </row>
    <row r="276" spans="1:26" s="42" customFormat="1" ht="15" customHeight="1" x14ac:dyDescent="0.2">
      <c r="A276" s="59"/>
      <c r="B276" s="59"/>
      <c r="C276" s="59"/>
      <c r="D276" s="59"/>
      <c r="E276" s="59"/>
      <c r="F276" s="60"/>
      <c r="G276" s="60"/>
      <c r="H276" s="59"/>
    </row>
    <row r="277" spans="1:26" s="42" customFormat="1" ht="15" customHeight="1" x14ac:dyDescent="0.2">
      <c r="A277" s="59"/>
      <c r="B277" s="59"/>
      <c r="C277" s="59"/>
      <c r="D277" s="59"/>
      <c r="E277" s="59"/>
      <c r="F277" s="60"/>
      <c r="G277" s="60"/>
      <c r="H277" s="59"/>
    </row>
    <row r="278" spans="1:26" s="42" customFormat="1" ht="15" customHeight="1" x14ac:dyDescent="0.2">
      <c r="A278" s="59"/>
      <c r="B278" s="59"/>
      <c r="C278" s="59"/>
      <c r="D278" s="59"/>
      <c r="E278" s="59"/>
      <c r="F278" s="60"/>
      <c r="G278" s="60"/>
      <c r="H278" s="59"/>
    </row>
    <row r="279" spans="1:26" s="42" customFormat="1" ht="15" customHeight="1" x14ac:dyDescent="0.2">
      <c r="A279" s="59"/>
      <c r="B279" s="59"/>
      <c r="C279" s="59"/>
      <c r="D279" s="59"/>
      <c r="E279" s="59"/>
      <c r="F279" s="60"/>
      <c r="G279" s="60"/>
      <c r="H279" s="59"/>
    </row>
    <row r="280" spans="1:26" s="42" customFormat="1" ht="15" customHeight="1" x14ac:dyDescent="0.2">
      <c r="A280" s="59"/>
      <c r="B280" s="59"/>
      <c r="C280" s="59"/>
      <c r="D280" s="59"/>
      <c r="E280" s="59"/>
      <c r="F280" s="60"/>
      <c r="G280" s="60"/>
      <c r="H280" s="59"/>
    </row>
    <row r="281" spans="1:26" s="42" customFormat="1" ht="15" customHeight="1" x14ac:dyDescent="0.2">
      <c r="A281" s="59"/>
      <c r="B281" s="59"/>
      <c r="C281" s="59"/>
      <c r="D281" s="59"/>
      <c r="E281" s="59"/>
      <c r="F281" s="60"/>
      <c r="G281" s="60"/>
      <c r="H281" s="59"/>
    </row>
    <row r="282" spans="1:26" s="42" customFormat="1" ht="15" customHeight="1" x14ac:dyDescent="0.2">
      <c r="A282" s="59"/>
      <c r="B282" s="59"/>
      <c r="C282" s="59"/>
      <c r="D282" s="59"/>
      <c r="E282" s="59"/>
      <c r="F282" s="60"/>
      <c r="G282" s="60"/>
      <c r="H282" s="59"/>
    </row>
    <row r="283" spans="1:26" s="42" customFormat="1" ht="15" customHeight="1" x14ac:dyDescent="0.2">
      <c r="A283" s="59"/>
      <c r="B283" s="59"/>
      <c r="C283" s="59"/>
      <c r="D283" s="59"/>
      <c r="E283" s="59"/>
      <c r="F283" s="60"/>
      <c r="G283" s="60"/>
      <c r="H283" s="59"/>
    </row>
    <row r="284" spans="1:26" s="1" customFormat="1" ht="20" customHeight="1" x14ac:dyDescent="0.2">
      <c r="A284" s="103" t="s">
        <v>0</v>
      </c>
      <c r="B284" s="104"/>
      <c r="C284" s="104"/>
      <c r="D284" s="104"/>
      <c r="E284" s="104"/>
      <c r="F284" s="104"/>
      <c r="G284" s="104"/>
      <c r="H284" s="104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</row>
    <row r="285" spans="1:26" s="1" customFormat="1" ht="20" customHeight="1" x14ac:dyDescent="0.2">
      <c r="A285" s="105" t="s">
        <v>60</v>
      </c>
      <c r="B285" s="106"/>
      <c r="C285" s="106"/>
      <c r="D285" s="106"/>
      <c r="E285" s="106"/>
      <c r="F285" s="106"/>
      <c r="G285" s="106"/>
      <c r="H285" s="10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</row>
    <row r="286" spans="1:26" s="1" customFormat="1" ht="20" customHeight="1" x14ac:dyDescent="0.2">
      <c r="A286" s="107" t="s">
        <v>380</v>
      </c>
      <c r="B286" s="108"/>
      <c r="C286" s="108"/>
      <c r="D286" s="108"/>
      <c r="E286" s="108"/>
      <c r="F286" s="108"/>
      <c r="G286" s="108"/>
      <c r="H286" s="108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</row>
    <row r="287" spans="1:26" ht="17" x14ac:dyDescent="0.2">
      <c r="A287" s="109"/>
      <c r="B287" s="109"/>
      <c r="C287" s="109"/>
      <c r="D287" s="109"/>
      <c r="E287" s="109"/>
      <c r="F287" s="109"/>
      <c r="G287" s="109"/>
      <c r="H287" s="109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s="2" customFormat="1" ht="20" customHeight="1" x14ac:dyDescent="0.2">
      <c r="A288" s="110" t="s">
        <v>93</v>
      </c>
      <c r="B288" s="111"/>
      <c r="C288" s="111"/>
      <c r="D288" s="111"/>
      <c r="E288" s="111"/>
      <c r="F288" s="111"/>
      <c r="G288" s="111"/>
      <c r="H288" s="111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</row>
    <row r="289" spans="1:26" s="2" customFormat="1" ht="20" customHeight="1" x14ac:dyDescent="0.2">
      <c r="A289" s="102" t="s">
        <v>94</v>
      </c>
      <c r="B289" s="102"/>
      <c r="C289" s="102"/>
      <c r="D289" s="102"/>
      <c r="E289" s="102"/>
      <c r="F289" s="102"/>
      <c r="G289" s="102"/>
      <c r="H289" s="102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</row>
    <row r="290" spans="1:26" s="2" customFormat="1" ht="6" customHeight="1" x14ac:dyDescent="0.2">
      <c r="A290" s="100"/>
      <c r="B290" s="101"/>
      <c r="C290" s="101"/>
      <c r="D290" s="101"/>
      <c r="E290" s="101"/>
      <c r="F290" s="101"/>
      <c r="G290" s="101"/>
      <c r="H290" s="101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</row>
    <row r="291" spans="1:26" s="3" customFormat="1" ht="24" customHeight="1" x14ac:dyDescent="0.2">
      <c r="A291" s="61" t="s">
        <v>64</v>
      </c>
      <c r="B291" s="62" t="s">
        <v>65</v>
      </c>
      <c r="C291" s="61" t="s">
        <v>95</v>
      </c>
      <c r="D291" s="62" t="s">
        <v>96</v>
      </c>
      <c r="E291" s="61" t="s">
        <v>97</v>
      </c>
      <c r="F291" s="63" t="s">
        <v>98</v>
      </c>
      <c r="G291" s="64" t="s">
        <v>99</v>
      </c>
      <c r="H291" s="61" t="s">
        <v>100</v>
      </c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</row>
    <row r="292" spans="1:26" s="41" customFormat="1" ht="24" customHeight="1" x14ac:dyDescent="0.2">
      <c r="A292" s="133" t="s">
        <v>239</v>
      </c>
      <c r="B292" s="134"/>
      <c r="C292" s="134"/>
      <c r="D292" s="134"/>
      <c r="E292" s="134"/>
      <c r="F292" s="135"/>
      <c r="G292" s="135"/>
      <c r="H292" s="136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2"/>
      <c r="U292" s="52"/>
      <c r="V292" s="52"/>
      <c r="W292" s="52"/>
      <c r="X292" s="52"/>
      <c r="Y292" s="52"/>
      <c r="Z292" s="52"/>
    </row>
    <row r="293" spans="1:26" s="41" customFormat="1" ht="50" customHeight="1" x14ac:dyDescent="0.2">
      <c r="A293" s="37">
        <v>1</v>
      </c>
      <c r="B293" s="43" t="s">
        <v>201</v>
      </c>
      <c r="C293" s="53" t="s">
        <v>102</v>
      </c>
      <c r="D293" s="53" t="s">
        <v>102</v>
      </c>
      <c r="E293" s="37" t="s">
        <v>101</v>
      </c>
      <c r="F293" s="53" t="s">
        <v>102</v>
      </c>
      <c r="G293" s="53" t="s">
        <v>102</v>
      </c>
      <c r="H293" s="37" t="s">
        <v>101</v>
      </c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7"/>
      <c r="U293" s="57"/>
      <c r="V293" s="57"/>
      <c r="W293" s="57"/>
      <c r="X293" s="57"/>
      <c r="Y293" s="57"/>
      <c r="Z293" s="57"/>
    </row>
    <row r="294" spans="1:26" s="41" customFormat="1" ht="81" customHeight="1" x14ac:dyDescent="0.2">
      <c r="A294" s="37">
        <v>2</v>
      </c>
      <c r="B294" s="43" t="s">
        <v>240</v>
      </c>
      <c r="C294" s="53" t="s">
        <v>102</v>
      </c>
      <c r="D294" s="53" t="s">
        <v>102</v>
      </c>
      <c r="E294" s="37" t="s">
        <v>101</v>
      </c>
      <c r="F294" s="53" t="s">
        <v>102</v>
      </c>
      <c r="G294" s="53" t="s">
        <v>102</v>
      </c>
      <c r="H294" s="53" t="s">
        <v>102</v>
      </c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7"/>
      <c r="U294" s="57"/>
      <c r="V294" s="57"/>
      <c r="W294" s="57"/>
      <c r="X294" s="57"/>
      <c r="Y294" s="57"/>
      <c r="Z294" s="57"/>
    </row>
    <row r="295" spans="1:26" s="41" customFormat="1" ht="66" customHeight="1" x14ac:dyDescent="0.2">
      <c r="A295" s="37">
        <v>3</v>
      </c>
      <c r="B295" s="43" t="s">
        <v>241</v>
      </c>
      <c r="C295" s="53" t="s">
        <v>102</v>
      </c>
      <c r="D295" s="53" t="s">
        <v>102</v>
      </c>
      <c r="E295" s="37" t="s">
        <v>101</v>
      </c>
      <c r="F295" s="53" t="s">
        <v>102</v>
      </c>
      <c r="G295" s="53" t="s">
        <v>102</v>
      </c>
      <c r="H295" s="37" t="s">
        <v>101</v>
      </c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7"/>
      <c r="U295" s="57"/>
      <c r="V295" s="57"/>
      <c r="W295" s="57"/>
      <c r="X295" s="57"/>
      <c r="Y295" s="57"/>
      <c r="Z295" s="57"/>
    </row>
    <row r="296" spans="1:26" s="41" customFormat="1" ht="66" customHeight="1" x14ac:dyDescent="0.2">
      <c r="A296" s="37">
        <v>4</v>
      </c>
      <c r="B296" s="43" t="s">
        <v>242</v>
      </c>
      <c r="C296" s="53" t="s">
        <v>102</v>
      </c>
      <c r="D296" s="53" t="s">
        <v>102</v>
      </c>
      <c r="E296" s="37" t="s">
        <v>101</v>
      </c>
      <c r="F296" s="53" t="s">
        <v>102</v>
      </c>
      <c r="G296" s="53" t="s">
        <v>102</v>
      </c>
      <c r="H296" s="53" t="s">
        <v>102</v>
      </c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7"/>
      <c r="U296" s="57"/>
      <c r="V296" s="57"/>
      <c r="W296" s="57"/>
      <c r="X296" s="57"/>
      <c r="Y296" s="57"/>
      <c r="Z296" s="57"/>
    </row>
    <row r="297" spans="1:26" s="41" customFormat="1" ht="79" customHeight="1" x14ac:dyDescent="0.2">
      <c r="A297" s="37">
        <v>5</v>
      </c>
      <c r="B297" s="43" t="s">
        <v>243</v>
      </c>
      <c r="C297" s="53" t="s">
        <v>102</v>
      </c>
      <c r="D297" s="53" t="s">
        <v>102</v>
      </c>
      <c r="E297" s="37" t="s">
        <v>101</v>
      </c>
      <c r="F297" s="53" t="s">
        <v>102</v>
      </c>
      <c r="G297" s="53" t="s">
        <v>102</v>
      </c>
      <c r="H297" s="53" t="s">
        <v>102</v>
      </c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7"/>
      <c r="U297" s="57"/>
      <c r="V297" s="57"/>
      <c r="W297" s="57"/>
      <c r="X297" s="57"/>
      <c r="Y297" s="57"/>
      <c r="Z297" s="57"/>
    </row>
    <row r="298" spans="1:26" s="41" customFormat="1" ht="86" customHeight="1" x14ac:dyDescent="0.2">
      <c r="A298" s="37">
        <v>6</v>
      </c>
      <c r="B298" s="43" t="s">
        <v>244</v>
      </c>
      <c r="C298" s="65" t="s">
        <v>155</v>
      </c>
      <c r="D298" s="65" t="s">
        <v>155</v>
      </c>
      <c r="E298" s="37" t="s">
        <v>101</v>
      </c>
      <c r="F298" s="53" t="s">
        <v>102</v>
      </c>
      <c r="G298" s="53" t="s">
        <v>102</v>
      </c>
      <c r="H298" s="37" t="s">
        <v>101</v>
      </c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7"/>
      <c r="U298" s="57"/>
      <c r="V298" s="57"/>
      <c r="W298" s="57"/>
      <c r="X298" s="57"/>
      <c r="Y298" s="57"/>
      <c r="Z298" s="57"/>
    </row>
    <row r="299" spans="1:26" s="41" customFormat="1" ht="121" customHeight="1" x14ac:dyDescent="0.2">
      <c r="A299" s="37">
        <v>7</v>
      </c>
      <c r="B299" s="43" t="s">
        <v>245</v>
      </c>
      <c r="C299" s="65" t="s">
        <v>155</v>
      </c>
      <c r="D299" s="65" t="s">
        <v>155</v>
      </c>
      <c r="E299" s="37" t="s">
        <v>103</v>
      </c>
      <c r="F299" s="53" t="s">
        <v>102</v>
      </c>
      <c r="G299" s="53" t="s">
        <v>102</v>
      </c>
      <c r="H299" s="37" t="s">
        <v>101</v>
      </c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7"/>
      <c r="U299" s="57"/>
      <c r="V299" s="57"/>
      <c r="W299" s="57"/>
      <c r="X299" s="57"/>
      <c r="Y299" s="57"/>
      <c r="Z299" s="57"/>
    </row>
    <row r="300" spans="1:26" s="41" customFormat="1" ht="76" customHeight="1" x14ac:dyDescent="0.2">
      <c r="A300" s="88"/>
      <c r="B300" s="87"/>
      <c r="C300" s="88"/>
      <c r="D300" s="88"/>
      <c r="E300" s="88"/>
      <c r="F300" s="88"/>
      <c r="G300" s="88"/>
      <c r="H300" s="88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7"/>
      <c r="U300" s="57"/>
      <c r="V300" s="57"/>
      <c r="W300" s="57"/>
      <c r="X300" s="57"/>
      <c r="Y300" s="57"/>
      <c r="Z300" s="57"/>
    </row>
    <row r="301" spans="1:26" s="41" customFormat="1" ht="24" customHeight="1" x14ac:dyDescent="0.2">
      <c r="A301" s="133" t="s">
        <v>246</v>
      </c>
      <c r="B301" s="134"/>
      <c r="C301" s="134"/>
      <c r="D301" s="134"/>
      <c r="E301" s="134"/>
      <c r="F301" s="135"/>
      <c r="G301" s="135"/>
      <c r="H301" s="136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2"/>
      <c r="U301" s="52"/>
      <c r="V301" s="52"/>
      <c r="W301" s="52"/>
      <c r="X301" s="52"/>
      <c r="Y301" s="52"/>
      <c r="Z301" s="52"/>
    </row>
    <row r="302" spans="1:26" s="41" customFormat="1" ht="46.5" customHeight="1" x14ac:dyDescent="0.2">
      <c r="A302" s="37">
        <v>1</v>
      </c>
      <c r="B302" s="43" t="s">
        <v>247</v>
      </c>
      <c r="C302" s="65" t="s">
        <v>155</v>
      </c>
      <c r="D302" s="65" t="s">
        <v>155</v>
      </c>
      <c r="E302" s="37" t="s">
        <v>103</v>
      </c>
      <c r="F302" s="53" t="s">
        <v>102</v>
      </c>
      <c r="G302" s="53" t="s">
        <v>102</v>
      </c>
      <c r="H302" s="37" t="s">
        <v>101</v>
      </c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7"/>
      <c r="U302" s="57"/>
      <c r="V302" s="57"/>
      <c r="W302" s="57"/>
      <c r="X302" s="57"/>
      <c r="Y302" s="57"/>
      <c r="Z302" s="57"/>
    </row>
    <row r="303" spans="1:26" s="41" customFormat="1" ht="108" customHeight="1" x14ac:dyDescent="0.2">
      <c r="A303" s="37">
        <v>2</v>
      </c>
      <c r="B303" s="43" t="s">
        <v>249</v>
      </c>
      <c r="C303" s="37" t="s">
        <v>103</v>
      </c>
      <c r="D303" s="37" t="s">
        <v>103</v>
      </c>
      <c r="E303" s="37" t="s">
        <v>103</v>
      </c>
      <c r="F303" s="50" t="s">
        <v>103</v>
      </c>
      <c r="G303" s="50" t="s">
        <v>103</v>
      </c>
      <c r="H303" s="37" t="s">
        <v>101</v>
      </c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7"/>
      <c r="U303" s="57"/>
      <c r="V303" s="57"/>
      <c r="W303" s="57"/>
      <c r="X303" s="57"/>
      <c r="Y303" s="57"/>
      <c r="Z303" s="57"/>
    </row>
    <row r="304" spans="1:26" s="41" customFormat="1" ht="88" customHeight="1" x14ac:dyDescent="0.2">
      <c r="A304" s="37">
        <v>3</v>
      </c>
      <c r="B304" s="43" t="s">
        <v>250</v>
      </c>
      <c r="C304" s="37" t="s">
        <v>103</v>
      </c>
      <c r="D304" s="37" t="s">
        <v>103</v>
      </c>
      <c r="E304" s="37" t="s">
        <v>103</v>
      </c>
      <c r="F304" s="50" t="s">
        <v>103</v>
      </c>
      <c r="G304" s="50" t="s">
        <v>103</v>
      </c>
      <c r="H304" s="37" t="s">
        <v>101</v>
      </c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7"/>
      <c r="U304" s="57"/>
      <c r="V304" s="57"/>
      <c r="W304" s="57"/>
      <c r="X304" s="57"/>
      <c r="Y304" s="57"/>
      <c r="Z304" s="57"/>
    </row>
    <row r="305" spans="1:26" s="41" customFormat="1" ht="80" customHeight="1" x14ac:dyDescent="0.2">
      <c r="A305" s="37">
        <v>4</v>
      </c>
      <c r="B305" s="43" t="s">
        <v>251</v>
      </c>
      <c r="C305" s="37" t="s">
        <v>103</v>
      </c>
      <c r="D305" s="37" t="s">
        <v>103</v>
      </c>
      <c r="E305" s="37" t="s">
        <v>103</v>
      </c>
      <c r="F305" s="50" t="s">
        <v>103</v>
      </c>
      <c r="G305" s="50" t="s">
        <v>103</v>
      </c>
      <c r="H305" s="37" t="s">
        <v>101</v>
      </c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7"/>
      <c r="U305" s="57"/>
      <c r="V305" s="57"/>
      <c r="W305" s="57"/>
      <c r="X305" s="57"/>
      <c r="Y305" s="57"/>
      <c r="Z305" s="57"/>
    </row>
    <row r="306" spans="1:26" s="5" customFormat="1" ht="15" customHeight="1" x14ac:dyDescent="0.2">
      <c r="A306" s="29"/>
      <c r="B306" s="30"/>
      <c r="C306" s="29"/>
      <c r="D306" s="29"/>
      <c r="E306" s="29"/>
      <c r="F306" s="29"/>
      <c r="G306" s="29"/>
      <c r="H306" s="29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</row>
    <row r="307" spans="1:26" s="5" customFormat="1" ht="15" customHeight="1" x14ac:dyDescent="0.2">
      <c r="A307" s="29"/>
      <c r="B307" s="30"/>
      <c r="C307" s="29"/>
      <c r="D307" s="29"/>
      <c r="E307" s="29"/>
      <c r="F307" s="29"/>
      <c r="G307" s="29"/>
      <c r="H307" s="29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</row>
    <row r="308" spans="1:26" s="5" customFormat="1" ht="15" customHeight="1" x14ac:dyDescent="0.2">
      <c r="A308" s="29"/>
      <c r="B308" s="30"/>
      <c r="C308" s="29"/>
      <c r="D308" s="29"/>
      <c r="E308" s="29"/>
      <c r="F308" s="29"/>
      <c r="G308" s="29"/>
      <c r="H308" s="29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</row>
    <row r="309" spans="1:26" s="5" customFormat="1" ht="15" customHeight="1" x14ac:dyDescent="0.2">
      <c r="A309" s="29"/>
      <c r="B309" s="30"/>
      <c r="C309" s="29"/>
      <c r="D309" s="29"/>
      <c r="E309" s="29"/>
      <c r="F309" s="29"/>
      <c r="G309" s="29"/>
      <c r="H309" s="29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</row>
    <row r="310" spans="1:26" s="5" customFormat="1" ht="15" customHeight="1" x14ac:dyDescent="0.2">
      <c r="A310" s="29"/>
      <c r="B310" s="30"/>
      <c r="C310" s="29"/>
      <c r="D310" s="29"/>
      <c r="E310" s="29"/>
      <c r="F310" s="29"/>
      <c r="G310" s="29"/>
      <c r="H310" s="29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</row>
    <row r="311" spans="1:26" s="5" customFormat="1" ht="15" customHeight="1" x14ac:dyDescent="0.2">
      <c r="A311" s="29"/>
      <c r="B311" s="30"/>
      <c r="C311" s="29"/>
      <c r="D311" s="29"/>
      <c r="E311" s="29"/>
      <c r="F311" s="29"/>
      <c r="G311" s="29"/>
      <c r="H311" s="29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</row>
    <row r="312" spans="1:26" s="5" customFormat="1" ht="15" customHeight="1" x14ac:dyDescent="0.2">
      <c r="A312" s="29"/>
      <c r="B312" s="30"/>
      <c r="C312" s="29"/>
      <c r="D312" s="29"/>
      <c r="E312" s="29"/>
      <c r="F312" s="29"/>
      <c r="G312" s="29"/>
      <c r="H312" s="29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</row>
    <row r="313" spans="1:26" ht="18" customHeight="1" x14ac:dyDescent="0.2">
      <c r="A313" s="32" t="s">
        <v>104</v>
      </c>
      <c r="B313" s="6"/>
      <c r="C313" s="6"/>
      <c r="D313" s="32" t="s">
        <v>105</v>
      </c>
      <c r="E313" s="6"/>
      <c r="F313" s="10" t="s">
        <v>106</v>
      </c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26" ht="10" customHeight="1" x14ac:dyDescent="0.2">
      <c r="A314" s="32"/>
      <c r="B314" s="6"/>
      <c r="C314" s="6"/>
      <c r="D314" s="32"/>
      <c r="E314" s="6"/>
      <c r="F314" s="33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26" ht="40" customHeight="1" x14ac:dyDescent="0.2">
      <c r="A315" s="32"/>
      <c r="B315" s="6"/>
      <c r="C315" s="6"/>
      <c r="D315" s="32"/>
      <c r="E315" s="6"/>
      <c r="F315" s="33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26" ht="18" customHeight="1" x14ac:dyDescent="0.2">
      <c r="A316" s="13" t="s">
        <v>107</v>
      </c>
      <c r="B316" s="6"/>
      <c r="C316" s="6"/>
      <c r="D316" s="13" t="s">
        <v>108</v>
      </c>
      <c r="E316" s="6"/>
      <c r="F316" s="13" t="s">
        <v>109</v>
      </c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26" ht="18" customHeight="1" x14ac:dyDescent="0.2">
      <c r="A317" s="32" t="s">
        <v>110</v>
      </c>
      <c r="B317" s="6"/>
      <c r="C317" s="6"/>
      <c r="D317" s="32" t="s">
        <v>111</v>
      </c>
      <c r="E317" s="6"/>
      <c r="F317" s="32" t="s">
        <v>112</v>
      </c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26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26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26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.75" customHeight="1" x14ac:dyDescent="0.2">
      <c r="A999" s="7"/>
      <c r="B999" s="7"/>
      <c r="C999" s="7"/>
      <c r="D999" s="7"/>
      <c r="E999" s="7"/>
      <c r="F999" s="31"/>
      <c r="G999" s="31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5.75" customHeight="1" x14ac:dyDescent="0.2">
      <c r="A1000" s="7"/>
      <c r="B1000" s="7"/>
      <c r="C1000" s="7"/>
      <c r="D1000" s="7"/>
      <c r="E1000" s="7"/>
      <c r="F1000" s="31"/>
      <c r="G1000" s="31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5.75" customHeight="1" x14ac:dyDescent="0.2">
      <c r="A1001" s="7"/>
      <c r="B1001" s="7"/>
      <c r="C1001" s="7"/>
      <c r="D1001" s="7"/>
      <c r="E1001" s="7"/>
      <c r="F1001" s="31"/>
      <c r="G1001" s="31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1:19" ht="15.75" customHeight="1" x14ac:dyDescent="0.2">
      <c r="A1002" s="7"/>
      <c r="B1002" s="7"/>
      <c r="C1002" s="7"/>
      <c r="D1002" s="7"/>
      <c r="E1002" s="7"/>
      <c r="F1002" s="31"/>
      <c r="G1002" s="31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1:19" ht="15.75" customHeight="1" x14ac:dyDescent="0.2">
      <c r="A1003" s="7"/>
      <c r="B1003" s="7"/>
      <c r="C1003" s="7"/>
      <c r="D1003" s="7"/>
      <c r="E1003" s="7"/>
      <c r="F1003" s="31"/>
      <c r="G1003" s="31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1:19" ht="15.75" customHeight="1" x14ac:dyDescent="0.2">
      <c r="A1004" s="7"/>
      <c r="B1004" s="7"/>
      <c r="C1004" s="7"/>
      <c r="D1004" s="7"/>
      <c r="E1004" s="7"/>
      <c r="F1004" s="31"/>
      <c r="G1004" s="31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  <row r="1005" spans="1:19" ht="15.75" customHeight="1" x14ac:dyDescent="0.2">
      <c r="A1005" s="7"/>
      <c r="B1005" s="7"/>
      <c r="C1005" s="7"/>
      <c r="D1005" s="7"/>
      <c r="E1005" s="7"/>
      <c r="F1005" s="31"/>
      <c r="G1005" s="31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</row>
    <row r="1006" spans="1:19" ht="15.75" customHeight="1" x14ac:dyDescent="0.2">
      <c r="A1006" s="7"/>
      <c r="B1006" s="7"/>
      <c r="C1006" s="7"/>
      <c r="D1006" s="7"/>
      <c r="E1006" s="7"/>
      <c r="F1006" s="31"/>
      <c r="G1006" s="31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</row>
    <row r="1007" spans="1:19" ht="15.75" customHeight="1" x14ac:dyDescent="0.2">
      <c r="A1007" s="7"/>
      <c r="B1007" s="7"/>
      <c r="C1007" s="7"/>
      <c r="D1007" s="7"/>
      <c r="E1007" s="7"/>
      <c r="F1007" s="31"/>
      <c r="G1007" s="31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</row>
    <row r="1008" spans="1:19" ht="15.75" customHeight="1" x14ac:dyDescent="0.2">
      <c r="A1008" s="7"/>
      <c r="B1008" s="7"/>
      <c r="C1008" s="7"/>
      <c r="D1008" s="7"/>
      <c r="E1008" s="7"/>
      <c r="F1008" s="31"/>
      <c r="G1008" s="31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</row>
    <row r="1009" spans="1:19" ht="15.75" customHeight="1" x14ac:dyDescent="0.2">
      <c r="A1009" s="7"/>
      <c r="B1009" s="7"/>
      <c r="C1009" s="7"/>
      <c r="D1009" s="7"/>
      <c r="E1009" s="7"/>
      <c r="F1009" s="31"/>
      <c r="G1009" s="31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</row>
    <row r="1010" spans="1:19" ht="15.75" customHeight="1" x14ac:dyDescent="0.2">
      <c r="A1010" s="7"/>
      <c r="B1010" s="7"/>
      <c r="C1010" s="7"/>
      <c r="D1010" s="7"/>
      <c r="E1010" s="7"/>
      <c r="F1010" s="31"/>
      <c r="G1010" s="31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</row>
    <row r="1011" spans="1:19" ht="15.75" customHeight="1" x14ac:dyDescent="0.2">
      <c r="A1011" s="7"/>
      <c r="B1011" s="7"/>
      <c r="C1011" s="7"/>
      <c r="D1011" s="7"/>
      <c r="E1011" s="7"/>
      <c r="F1011" s="31"/>
      <c r="G1011" s="31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</row>
    <row r="1012" spans="1:19" ht="15.75" customHeight="1" x14ac:dyDescent="0.2">
      <c r="A1012" s="7"/>
      <c r="B1012" s="7"/>
      <c r="C1012" s="7"/>
      <c r="D1012" s="7"/>
      <c r="E1012" s="7"/>
      <c r="F1012" s="31"/>
      <c r="G1012" s="31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</row>
    <row r="1013" spans="1:19" ht="15.75" customHeight="1" x14ac:dyDescent="0.2">
      <c r="A1013" s="7"/>
      <c r="B1013" s="7"/>
      <c r="C1013" s="7"/>
      <c r="D1013" s="7"/>
      <c r="E1013" s="7"/>
      <c r="F1013" s="31"/>
      <c r="G1013" s="31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</row>
    <row r="1014" spans="1:19" ht="15.75" customHeight="1" x14ac:dyDescent="0.2">
      <c r="A1014" s="7"/>
      <c r="B1014" s="7"/>
      <c r="C1014" s="7"/>
      <c r="D1014" s="7"/>
      <c r="E1014" s="7"/>
      <c r="F1014" s="31"/>
      <c r="G1014" s="31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</row>
    <row r="1015" spans="1:19" ht="15.75" customHeight="1" x14ac:dyDescent="0.2">
      <c r="A1015" s="7"/>
      <c r="B1015" s="7"/>
      <c r="C1015" s="7"/>
      <c r="D1015" s="7"/>
      <c r="E1015" s="7"/>
      <c r="F1015" s="31"/>
      <c r="G1015" s="31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</row>
    <row r="1016" spans="1:19" ht="15.75" customHeight="1" x14ac:dyDescent="0.2">
      <c r="A1016" s="7"/>
      <c r="B1016" s="7"/>
      <c r="C1016" s="7"/>
      <c r="D1016" s="7"/>
      <c r="E1016" s="7"/>
      <c r="F1016" s="31"/>
      <c r="G1016" s="31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</row>
    <row r="1017" spans="1:19" ht="15.75" customHeight="1" x14ac:dyDescent="0.2">
      <c r="A1017" s="7"/>
      <c r="B1017" s="7"/>
      <c r="C1017" s="7"/>
      <c r="D1017" s="7"/>
      <c r="E1017" s="7"/>
      <c r="F1017" s="31"/>
      <c r="G1017" s="31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</row>
    <row r="1018" spans="1:19" ht="15.75" customHeight="1" x14ac:dyDescent="0.2">
      <c r="A1018" s="7"/>
      <c r="B1018" s="7"/>
      <c r="C1018" s="7"/>
      <c r="D1018" s="7"/>
      <c r="E1018" s="7"/>
      <c r="F1018" s="31"/>
      <c r="G1018" s="31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</row>
    <row r="1019" spans="1:19" ht="15.75" customHeight="1" x14ac:dyDescent="0.2">
      <c r="A1019" s="7"/>
      <c r="B1019" s="7"/>
      <c r="C1019" s="7"/>
      <c r="D1019" s="7"/>
      <c r="E1019" s="7"/>
      <c r="F1019" s="31"/>
      <c r="G1019" s="31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</row>
    <row r="1020" spans="1:19" ht="15.75" customHeight="1" x14ac:dyDescent="0.2">
      <c r="A1020" s="7"/>
      <c r="B1020" s="7"/>
      <c r="C1020" s="7"/>
      <c r="D1020" s="7"/>
      <c r="E1020" s="7"/>
      <c r="F1020" s="31"/>
      <c r="G1020" s="31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</row>
    <row r="1021" spans="1:19" ht="15.75" customHeight="1" x14ac:dyDescent="0.2">
      <c r="A1021" s="7"/>
      <c r="B1021" s="7"/>
      <c r="C1021" s="7"/>
      <c r="D1021" s="7"/>
      <c r="E1021" s="7"/>
      <c r="F1021" s="31"/>
      <c r="G1021" s="31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</row>
    <row r="1022" spans="1:19" ht="15.75" customHeight="1" x14ac:dyDescent="0.2">
      <c r="A1022" s="7"/>
      <c r="B1022" s="7"/>
      <c r="C1022" s="7"/>
      <c r="D1022" s="7"/>
      <c r="E1022" s="7"/>
      <c r="F1022" s="31"/>
      <c r="G1022" s="31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</row>
    <row r="1023" spans="1:19" ht="15.75" customHeight="1" x14ac:dyDescent="0.2">
      <c r="A1023" s="7"/>
      <c r="B1023" s="7"/>
      <c r="C1023" s="7"/>
      <c r="D1023" s="7"/>
      <c r="E1023" s="7"/>
      <c r="F1023" s="31"/>
      <c r="G1023" s="31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</row>
    <row r="1024" spans="1:19" ht="15.75" customHeight="1" x14ac:dyDescent="0.2">
      <c r="A1024" s="7"/>
      <c r="B1024" s="7"/>
      <c r="C1024" s="7"/>
      <c r="D1024" s="7"/>
      <c r="E1024" s="7"/>
      <c r="F1024" s="31"/>
      <c r="G1024" s="31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</row>
    <row r="1025" spans="1:19" ht="15.75" customHeight="1" x14ac:dyDescent="0.2">
      <c r="A1025" s="7"/>
      <c r="B1025" s="7"/>
      <c r="C1025" s="7"/>
      <c r="D1025" s="7"/>
      <c r="E1025" s="7"/>
      <c r="F1025" s="31"/>
      <c r="G1025" s="31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</row>
    <row r="1026" spans="1:19" ht="15.75" customHeight="1" x14ac:dyDescent="0.2">
      <c r="A1026" s="7"/>
      <c r="B1026" s="7"/>
      <c r="C1026" s="7"/>
      <c r="D1026" s="7"/>
      <c r="E1026" s="7"/>
      <c r="F1026" s="31"/>
      <c r="G1026" s="31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</row>
    <row r="1027" spans="1:19" ht="15.75" customHeight="1" x14ac:dyDescent="0.2">
      <c r="A1027" s="7"/>
      <c r="B1027" s="7"/>
      <c r="C1027" s="7"/>
      <c r="D1027" s="7"/>
      <c r="E1027" s="7"/>
      <c r="F1027" s="31"/>
      <c r="G1027" s="31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</row>
    <row r="1028" spans="1:19" ht="15" customHeight="1" x14ac:dyDescent="0.2">
      <c r="A1028" s="7"/>
      <c r="B1028" s="7"/>
      <c r="C1028" s="7"/>
      <c r="D1028" s="7"/>
      <c r="E1028" s="7"/>
      <c r="F1028" s="31"/>
      <c r="G1028" s="31"/>
      <c r="H1028" s="7"/>
    </row>
  </sheetData>
  <mergeCells count="74">
    <mergeCell ref="A292:H292"/>
    <mergeCell ref="A301:H301"/>
    <mergeCell ref="A271:H271"/>
    <mergeCell ref="A284:H284"/>
    <mergeCell ref="A285:H285"/>
    <mergeCell ref="A286:H286"/>
    <mergeCell ref="A287:H287"/>
    <mergeCell ref="A288:H288"/>
    <mergeCell ref="A289:H289"/>
    <mergeCell ref="A257:H257"/>
    <mergeCell ref="A262:H262"/>
    <mergeCell ref="A266:H266"/>
    <mergeCell ref="A258:H258"/>
    <mergeCell ref="A259:H259"/>
    <mergeCell ref="A237:H237"/>
    <mergeCell ref="A244:H244"/>
    <mergeCell ref="A254:H254"/>
    <mergeCell ref="A255:H255"/>
    <mergeCell ref="A256:H256"/>
    <mergeCell ref="A228:H228"/>
    <mergeCell ref="A229:H229"/>
    <mergeCell ref="A230:H230"/>
    <mergeCell ref="A231:H231"/>
    <mergeCell ref="A234:H234"/>
    <mergeCell ref="A205:H205"/>
    <mergeCell ref="A208:H208"/>
    <mergeCell ref="A214:H214"/>
    <mergeCell ref="A226:H226"/>
    <mergeCell ref="A227:H227"/>
    <mergeCell ref="A200:H200"/>
    <mergeCell ref="A201:H201"/>
    <mergeCell ref="A202:H202"/>
    <mergeCell ref="A203:H203"/>
    <mergeCell ref="A204:H204"/>
    <mergeCell ref="A151:H151"/>
    <mergeCell ref="A152:H152"/>
    <mergeCell ref="A153:H153"/>
    <mergeCell ref="A156:H156"/>
    <mergeCell ref="A166:H166"/>
    <mergeCell ref="A126:H126"/>
    <mergeCell ref="A131:H131"/>
    <mergeCell ref="A148:H148"/>
    <mergeCell ref="A149:H149"/>
    <mergeCell ref="A150:H150"/>
    <mergeCell ref="A116:H116"/>
    <mergeCell ref="A117:H117"/>
    <mergeCell ref="A118:H118"/>
    <mergeCell ref="A119:H119"/>
    <mergeCell ref="A122:H122"/>
    <mergeCell ref="A88:H88"/>
    <mergeCell ref="A91:H91"/>
    <mergeCell ref="A98:H98"/>
    <mergeCell ref="A114:H114"/>
    <mergeCell ref="A115:H115"/>
    <mergeCell ref="A81:H81"/>
    <mergeCell ref="A82:H82"/>
    <mergeCell ref="A83:H83"/>
    <mergeCell ref="A84:H84"/>
    <mergeCell ref="A85:H85"/>
    <mergeCell ref="A46:H46"/>
    <mergeCell ref="A47:H47"/>
    <mergeCell ref="A50:H50"/>
    <mergeCell ref="A56:H56"/>
    <mergeCell ref="A80:H80"/>
    <mergeCell ref="A8:H8"/>
    <mergeCell ref="A42:H42"/>
    <mergeCell ref="A43:H43"/>
    <mergeCell ref="A44:H44"/>
    <mergeCell ref="A45:H45"/>
    <mergeCell ref="A3:H3"/>
    <mergeCell ref="A4:H4"/>
    <mergeCell ref="A5:H5"/>
    <mergeCell ref="A6:H6"/>
    <mergeCell ref="A7:H7"/>
  </mergeCells>
  <dataValidations count="6">
    <dataValidation type="list" allowBlank="1" showErrorMessage="1" sqref="H215 F241:G241 F243:G243 F248:G248 F250:G250 C274:H274 H293 H295 E302 H302:H305 E209:E213 E215:E219 E235:E236 E238:E243 E245:E250 E263:E265 E267:E270 E293:E300 H209:H213 H235:H236 H238:H243 H245:H250 H263:H265 H267:H270 H298:H300 E272:G273 F217:G219 E303:G305" xr:uid="{00000000-0002-0000-0400-000000000000}">
      <formula1>"Submitted,Pending,Not Yet Due,N/A"</formula1>
    </dataValidation>
    <dataValidation type="list" allowBlank="1" showErrorMessage="1" sqref="F242:G242 F249:G249 H294 F302:G302 H216:H219 H272:H273 H296:H297 F293:G300 F267:G270 C209:D213 C235:D236 C238:D243 C245:D250 C267:D270 C302:D305 C263:D265 C272:D273 C293:D300 F215:G216 F235:G236 F209:G213 F245:G247 F263:G265 F238:G240 C215:D219" xr:uid="{00000000-0002-0000-0400-000001000000}">
      <formula1>"Submitted,Pending,Not Yet Due,Overdue,N/A"</formula1>
    </dataValidation>
    <dataValidation type="list" allowBlank="1" showErrorMessage="1" sqref="E157:E165 E51:E55 E89:E90 E92:E97 E99:E104 E123:E125 E57:E61 E132:E134 E127:E130 E167:E170" xr:uid="{00000000-0002-0000-0400-000002000000}">
      <formula1>"Implemented,Ongoing,For Implementation,Rescheduled,Deferred,Cancelled"</formula1>
    </dataValidation>
    <dataValidation type="list" allowBlank="1" showErrorMessage="1" sqref="G11:G18" xr:uid="{00000000-0002-0000-0400-000003000000}">
      <formula1>"MET,Partially MET,UNMET,Not Yet Due,Overdue"</formula1>
    </dataValidation>
    <dataValidation type="list" allowBlank="1" showInputMessage="1" showErrorMessage="1" sqref="C306:H312" xr:uid="{00000000-0002-0000-0400-000004000000}">
      <formula1>"Submitted,Pending,Not Yet Due,Overdue,N/A"</formula1>
    </dataValidation>
    <dataValidation type="list" allowBlank="1" showInputMessage="1" showErrorMessage="1" sqref="G19" xr:uid="{37F5DCDD-4507-494B-B6FD-1C0EB33FF2AA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Z999"/>
  <sheetViews>
    <sheetView showGridLines="0" view="pageBreakPreview" topLeftCell="A17" zoomScaleNormal="70" zoomScaleSheetLayoutView="100" workbookViewId="0">
      <selection activeCell="A18" sqref="A18:XFD18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1.6640625" customWidth="1"/>
    <col min="9" max="19" width="11.5" customWidth="1"/>
  </cols>
  <sheetData>
    <row r="3" spans="1:26" s="1" customFormat="1" ht="20" customHeight="1" x14ac:dyDescent="0.2">
      <c r="A3" s="103" t="s">
        <v>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26" s="1" customFormat="1" ht="20" customHeight="1" x14ac:dyDescent="0.2">
      <c r="A4" s="105" t="s">
        <v>60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26" s="1" customFormat="1" ht="20" customHeight="1" x14ac:dyDescent="0.2">
      <c r="A5" s="107" t="s">
        <v>253</v>
      </c>
      <c r="B5" s="108"/>
      <c r="C5" s="108"/>
      <c r="D5" s="108"/>
      <c r="E5" s="108"/>
      <c r="F5" s="108"/>
      <c r="G5" s="108"/>
      <c r="H5" s="108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26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26" s="2" customFormat="1" ht="20" customHeight="1" x14ac:dyDescent="0.2">
      <c r="A7" s="110" t="s">
        <v>2</v>
      </c>
      <c r="B7" s="111"/>
      <c r="C7" s="111"/>
      <c r="D7" s="111"/>
      <c r="E7" s="111"/>
      <c r="F7" s="111"/>
      <c r="G7" s="111"/>
      <c r="H7" s="1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26" s="2" customFormat="1" ht="20" customHeight="1" x14ac:dyDescent="0.2">
      <c r="A8" s="102" t="s">
        <v>3</v>
      </c>
      <c r="B8" s="102"/>
      <c r="C8" s="102"/>
      <c r="D8" s="102"/>
      <c r="E8" s="102"/>
      <c r="F8" s="102"/>
      <c r="G8" s="102"/>
      <c r="H8" s="102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26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26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26" s="41" customFormat="1" ht="369" customHeight="1" x14ac:dyDescent="0.2">
      <c r="A11" s="14" t="s">
        <v>17</v>
      </c>
      <c r="B11" s="43" t="s">
        <v>18</v>
      </c>
      <c r="C11" s="37" t="s">
        <v>19</v>
      </c>
      <c r="D11" s="37">
        <v>4</v>
      </c>
      <c r="E11" s="37">
        <v>0</v>
      </c>
      <c r="F11" s="80">
        <f t="shared" ref="F11:F18" si="0">E11-D11</f>
        <v>-4</v>
      </c>
      <c r="G11" s="44" t="s">
        <v>20</v>
      </c>
      <c r="H11" s="45" t="s">
        <v>361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46"/>
      <c r="U11" s="46"/>
      <c r="V11" s="46"/>
      <c r="W11" s="46"/>
      <c r="X11" s="46"/>
      <c r="Y11" s="46"/>
      <c r="Z11" s="46"/>
    </row>
    <row r="12" spans="1:26" s="41" customFormat="1" ht="354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ref="F12" si="1">E12-D12</f>
        <v>-4</v>
      </c>
      <c r="G12" s="44" t="s">
        <v>20</v>
      </c>
      <c r="H12" s="45" t="s">
        <v>362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46"/>
      <c r="U12" s="46"/>
      <c r="V12" s="46"/>
      <c r="W12" s="46"/>
      <c r="X12" s="46"/>
      <c r="Y12" s="46"/>
      <c r="Z12" s="46"/>
    </row>
    <row r="13" spans="1:26" s="41" customFormat="1" ht="320" customHeight="1" x14ac:dyDescent="0.2">
      <c r="A13" s="14" t="s">
        <v>22</v>
      </c>
      <c r="B13" s="43" t="s">
        <v>23</v>
      </c>
      <c r="C13" s="37" t="s">
        <v>19</v>
      </c>
      <c r="D13" s="37">
        <v>109</v>
      </c>
      <c r="E13" s="37">
        <v>276</v>
      </c>
      <c r="F13" s="79">
        <f t="shared" si="0"/>
        <v>167</v>
      </c>
      <c r="G13" s="47" t="s">
        <v>15</v>
      </c>
      <c r="H13" s="43" t="s">
        <v>363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46"/>
      <c r="U13" s="46"/>
      <c r="V13" s="46"/>
      <c r="W13" s="46"/>
      <c r="X13" s="46"/>
      <c r="Y13" s="46"/>
      <c r="Z13" s="46"/>
    </row>
    <row r="14" spans="1:26" s="41" customFormat="1" ht="307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43" t="s">
        <v>364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46"/>
      <c r="U14" s="46"/>
      <c r="V14" s="46"/>
      <c r="W14" s="46"/>
      <c r="X14" s="46"/>
      <c r="Y14" s="46"/>
      <c r="Z14" s="46"/>
    </row>
    <row r="15" spans="1:26" s="41" customFormat="1" ht="169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365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46"/>
      <c r="U15" s="46"/>
      <c r="V15" s="46"/>
      <c r="W15" s="46"/>
      <c r="X15" s="46"/>
      <c r="Y15" s="46"/>
      <c r="Z15" s="46"/>
    </row>
    <row r="16" spans="1:26" s="41" customFormat="1" ht="93" customHeight="1" x14ac:dyDescent="0.2">
      <c r="A16" s="14" t="s">
        <v>35</v>
      </c>
      <c r="B16" s="43" t="s">
        <v>36</v>
      </c>
      <c r="C16" s="37" t="s">
        <v>33</v>
      </c>
      <c r="D16" s="37">
        <v>1</v>
      </c>
      <c r="E16" s="37">
        <v>1</v>
      </c>
      <c r="F16" s="81">
        <f t="shared" si="0"/>
        <v>0</v>
      </c>
      <c r="G16" s="47" t="s">
        <v>15</v>
      </c>
      <c r="H16" s="43" t="s">
        <v>254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46"/>
      <c r="U16" s="46"/>
      <c r="V16" s="46"/>
      <c r="W16" s="46"/>
      <c r="X16" s="46"/>
      <c r="Y16" s="46"/>
      <c r="Z16" s="46"/>
    </row>
    <row r="17" spans="1:26" s="41" customFormat="1" ht="151" customHeight="1" x14ac:dyDescent="0.2">
      <c r="A17" s="14" t="s">
        <v>47</v>
      </c>
      <c r="B17" s="43" t="s">
        <v>255</v>
      </c>
      <c r="C17" s="37" t="s">
        <v>33</v>
      </c>
      <c r="D17" s="37">
        <v>1</v>
      </c>
      <c r="E17" s="37">
        <v>1</v>
      </c>
      <c r="F17" s="81">
        <f t="shared" si="0"/>
        <v>0</v>
      </c>
      <c r="G17" s="47" t="s">
        <v>15</v>
      </c>
      <c r="H17" s="43" t="s">
        <v>256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46"/>
      <c r="U17" s="46"/>
      <c r="V17" s="46"/>
      <c r="W17" s="46"/>
      <c r="X17" s="46"/>
      <c r="Y17" s="46"/>
      <c r="Z17" s="46"/>
    </row>
    <row r="18" spans="1:26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0.3831</v>
      </c>
      <c r="F18" s="98">
        <f t="shared" si="0"/>
        <v>-0.31689999999999996</v>
      </c>
      <c r="G18" s="19" t="s">
        <v>20</v>
      </c>
      <c r="H18" s="15" t="s">
        <v>381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6" spans="1:26" s="1" customFormat="1" ht="20" customHeight="1" x14ac:dyDescent="0.2">
      <c r="A26" s="103" t="s">
        <v>0</v>
      </c>
      <c r="B26" s="104"/>
      <c r="C26" s="104"/>
      <c r="D26" s="104"/>
      <c r="E26" s="104"/>
      <c r="F26" s="104"/>
      <c r="G26" s="104"/>
      <c r="H26" s="104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26" s="1" customFormat="1" ht="20" customHeight="1" x14ac:dyDescent="0.2">
      <c r="A27" s="105" t="s">
        <v>60</v>
      </c>
      <c r="B27" s="106"/>
      <c r="C27" s="106"/>
      <c r="D27" s="106"/>
      <c r="E27" s="106"/>
      <c r="F27" s="106"/>
      <c r="G27" s="106"/>
      <c r="H27" s="10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26" s="1" customFormat="1" ht="46" customHeight="1" x14ac:dyDescent="0.2">
      <c r="A28" s="109" t="s">
        <v>366</v>
      </c>
      <c r="B28" s="108"/>
      <c r="C28" s="108"/>
      <c r="D28" s="108"/>
      <c r="E28" s="108"/>
      <c r="F28" s="108"/>
      <c r="G28" s="108"/>
      <c r="H28" s="108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26" ht="17" x14ac:dyDescent="0.2">
      <c r="A29" s="109"/>
      <c r="B29" s="109"/>
      <c r="C29" s="109"/>
      <c r="D29" s="109"/>
      <c r="E29" s="109"/>
      <c r="F29" s="109"/>
      <c r="G29" s="109"/>
      <c r="H29" s="109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26" s="2" customFormat="1" ht="20" customHeight="1" x14ac:dyDescent="0.2">
      <c r="A30" s="110" t="s">
        <v>62</v>
      </c>
      <c r="B30" s="111"/>
      <c r="C30" s="111"/>
      <c r="D30" s="111"/>
      <c r="E30" s="111"/>
      <c r="F30" s="111"/>
      <c r="G30" s="111"/>
      <c r="H30" s="1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26" s="2" customFormat="1" ht="20" customHeight="1" x14ac:dyDescent="0.2">
      <c r="A31" s="102" t="s">
        <v>63</v>
      </c>
      <c r="B31" s="102"/>
      <c r="C31" s="102"/>
      <c r="D31" s="102"/>
      <c r="E31" s="102"/>
      <c r="F31" s="102"/>
      <c r="G31" s="102"/>
      <c r="H31" s="10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26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26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26" s="41" customFormat="1" ht="24" customHeight="1" x14ac:dyDescent="0.2">
      <c r="A34" s="133" t="s">
        <v>257</v>
      </c>
      <c r="B34" s="134"/>
      <c r="C34" s="134"/>
      <c r="D34" s="134"/>
      <c r="E34" s="134"/>
      <c r="F34" s="135"/>
      <c r="G34" s="135"/>
      <c r="H34" s="136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2"/>
      <c r="U34" s="52"/>
      <c r="V34" s="52"/>
      <c r="W34" s="52"/>
      <c r="X34" s="52"/>
      <c r="Y34" s="52"/>
      <c r="Z34" s="52"/>
    </row>
    <row r="35" spans="1:26" s="41" customFormat="1" ht="46.5" customHeight="1" x14ac:dyDescent="0.2">
      <c r="A35" s="37">
        <v>1</v>
      </c>
      <c r="B35" s="43" t="s">
        <v>258</v>
      </c>
      <c r="C35" s="37" t="s">
        <v>202</v>
      </c>
      <c r="D35" s="82" t="s">
        <v>72</v>
      </c>
      <c r="E35" s="53" t="s">
        <v>73</v>
      </c>
      <c r="F35" s="50" t="s">
        <v>227</v>
      </c>
      <c r="G35" s="50" t="s">
        <v>227</v>
      </c>
      <c r="H35" s="54" t="s">
        <v>154</v>
      </c>
      <c r="I35" s="55"/>
      <c r="J35" s="55"/>
      <c r="K35" s="55"/>
      <c r="L35" s="56"/>
      <c r="M35" s="56"/>
      <c r="N35" s="56"/>
      <c r="O35" s="56"/>
      <c r="P35" s="56"/>
      <c r="Q35" s="56"/>
      <c r="R35" s="56"/>
      <c r="S35" s="56"/>
      <c r="T35" s="57"/>
      <c r="U35" s="57"/>
      <c r="V35" s="57"/>
      <c r="W35" s="57"/>
      <c r="X35" s="57"/>
      <c r="Y35" s="57"/>
      <c r="Z35" s="57"/>
    </row>
    <row r="36" spans="1:26" s="41" customFormat="1" ht="46.5" customHeight="1" x14ac:dyDescent="0.2">
      <c r="A36" s="37">
        <v>2</v>
      </c>
      <c r="B36" s="43" t="s">
        <v>259</v>
      </c>
      <c r="C36" s="37" t="s">
        <v>72</v>
      </c>
      <c r="D36" s="37" t="s">
        <v>72</v>
      </c>
      <c r="E36" s="53" t="s">
        <v>73</v>
      </c>
      <c r="F36" s="50" t="s">
        <v>227</v>
      </c>
      <c r="G36" s="50" t="s">
        <v>154</v>
      </c>
      <c r="H36" s="54" t="s">
        <v>154</v>
      </c>
      <c r="I36" s="55"/>
      <c r="J36" s="55"/>
      <c r="K36" s="55"/>
      <c r="L36" s="56"/>
      <c r="M36" s="56"/>
      <c r="N36" s="56"/>
      <c r="O36" s="56"/>
      <c r="P36" s="56"/>
      <c r="Q36" s="56"/>
      <c r="R36" s="56"/>
      <c r="S36" s="56"/>
      <c r="T36" s="57"/>
      <c r="U36" s="57"/>
      <c r="V36" s="57"/>
      <c r="W36" s="57"/>
      <c r="X36" s="57"/>
      <c r="Y36" s="57"/>
      <c r="Z36" s="57"/>
    </row>
    <row r="37" spans="1:26" s="41" customFormat="1" ht="46.5" customHeight="1" x14ac:dyDescent="0.2">
      <c r="A37" s="37">
        <v>3</v>
      </c>
      <c r="B37" s="43" t="s">
        <v>77</v>
      </c>
      <c r="C37" s="37" t="s">
        <v>72</v>
      </c>
      <c r="D37" s="82" t="s">
        <v>81</v>
      </c>
      <c r="E37" s="53" t="s">
        <v>73</v>
      </c>
      <c r="F37" s="50">
        <v>10000</v>
      </c>
      <c r="G37" s="50">
        <v>7050</v>
      </c>
      <c r="H37" s="54">
        <f>(G37/F37)</f>
        <v>0.70499999999999996</v>
      </c>
      <c r="I37" s="55"/>
      <c r="J37" s="55"/>
      <c r="K37" s="55"/>
      <c r="L37" s="56"/>
      <c r="M37" s="56"/>
      <c r="N37" s="56"/>
      <c r="O37" s="56"/>
      <c r="P37" s="56"/>
      <c r="Q37" s="56"/>
      <c r="R37" s="56"/>
      <c r="S37" s="56"/>
      <c r="T37" s="57"/>
      <c r="U37" s="57"/>
      <c r="V37" s="57"/>
      <c r="W37" s="57"/>
      <c r="X37" s="57"/>
      <c r="Y37" s="57"/>
      <c r="Z37" s="57"/>
    </row>
    <row r="38" spans="1:26" s="41" customFormat="1" ht="24" customHeight="1" x14ac:dyDescent="0.2">
      <c r="A38" s="133" t="s">
        <v>260</v>
      </c>
      <c r="B38" s="134"/>
      <c r="C38" s="134"/>
      <c r="D38" s="134"/>
      <c r="E38" s="134"/>
      <c r="F38" s="135"/>
      <c r="G38" s="135"/>
      <c r="H38" s="136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2"/>
      <c r="U38" s="52"/>
      <c r="V38" s="52"/>
      <c r="W38" s="52"/>
      <c r="X38" s="52"/>
      <c r="Y38" s="52"/>
      <c r="Z38" s="52"/>
    </row>
    <row r="39" spans="1:26" s="41" customFormat="1" ht="63" customHeight="1" x14ac:dyDescent="0.2">
      <c r="A39" s="37">
        <v>1</v>
      </c>
      <c r="B39" s="43" t="s">
        <v>261</v>
      </c>
      <c r="C39" s="37" t="s">
        <v>202</v>
      </c>
      <c r="D39" s="82" t="s">
        <v>72</v>
      </c>
      <c r="E39" s="53" t="s">
        <v>73</v>
      </c>
      <c r="F39" s="50" t="s">
        <v>227</v>
      </c>
      <c r="G39" s="50" t="s">
        <v>227</v>
      </c>
      <c r="H39" s="50" t="s">
        <v>227</v>
      </c>
      <c r="I39" s="55"/>
      <c r="J39" s="55"/>
      <c r="K39" s="55"/>
      <c r="L39" s="56"/>
      <c r="M39" s="56"/>
      <c r="N39" s="56"/>
      <c r="O39" s="56"/>
      <c r="P39" s="56"/>
      <c r="Q39" s="56"/>
      <c r="R39" s="56"/>
      <c r="S39" s="56"/>
      <c r="T39" s="57"/>
      <c r="U39" s="57"/>
      <c r="V39" s="57"/>
      <c r="W39" s="57"/>
      <c r="X39" s="57"/>
      <c r="Y39" s="57"/>
      <c r="Z39" s="57"/>
    </row>
    <row r="40" spans="1:26" s="41" customFormat="1" ht="58" customHeight="1" x14ac:dyDescent="0.2">
      <c r="A40" s="37">
        <v>2</v>
      </c>
      <c r="B40" s="43" t="s">
        <v>262</v>
      </c>
      <c r="C40" s="37" t="s">
        <v>141</v>
      </c>
      <c r="D40" s="82" t="s">
        <v>72</v>
      </c>
      <c r="E40" s="53" t="s">
        <v>73</v>
      </c>
      <c r="F40" s="50" t="s">
        <v>227</v>
      </c>
      <c r="G40" s="50" t="s">
        <v>227</v>
      </c>
      <c r="H40" s="50" t="s">
        <v>227</v>
      </c>
      <c r="I40" s="55"/>
      <c r="J40" s="55"/>
      <c r="K40" s="55"/>
      <c r="L40" s="56"/>
      <c r="M40" s="56"/>
      <c r="N40" s="56"/>
      <c r="O40" s="56"/>
      <c r="P40" s="56"/>
      <c r="Q40" s="56"/>
      <c r="R40" s="56"/>
      <c r="S40" s="56"/>
      <c r="T40" s="57"/>
      <c r="U40" s="57"/>
      <c r="V40" s="57"/>
      <c r="W40" s="57"/>
      <c r="X40" s="57"/>
      <c r="Y40" s="57"/>
      <c r="Z40" s="57"/>
    </row>
    <row r="41" spans="1:26" s="41" customFormat="1" ht="24" customHeight="1" x14ac:dyDescent="0.2">
      <c r="A41" s="133" t="s">
        <v>263</v>
      </c>
      <c r="B41" s="134"/>
      <c r="C41" s="134"/>
      <c r="D41" s="134"/>
      <c r="E41" s="134"/>
      <c r="F41" s="135"/>
      <c r="G41" s="135"/>
      <c r="H41" s="136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2"/>
      <c r="U41" s="52"/>
      <c r="V41" s="52"/>
      <c r="W41" s="52"/>
      <c r="X41" s="52"/>
      <c r="Y41" s="52"/>
      <c r="Z41" s="52"/>
    </row>
    <row r="42" spans="1:26" s="41" customFormat="1" ht="60" customHeight="1" x14ac:dyDescent="0.2">
      <c r="A42" s="37">
        <v>1</v>
      </c>
      <c r="B42" s="43" t="s">
        <v>264</v>
      </c>
      <c r="C42" s="37" t="s">
        <v>72</v>
      </c>
      <c r="D42" s="37" t="s">
        <v>72</v>
      </c>
      <c r="E42" s="53" t="s">
        <v>73</v>
      </c>
      <c r="F42" s="50">
        <v>4550</v>
      </c>
      <c r="G42" s="50">
        <v>4130</v>
      </c>
      <c r="H42" s="54">
        <f t="shared" ref="H42:H45" si="2">(G42/F42)</f>
        <v>0.90769230769230769</v>
      </c>
      <c r="I42" s="55"/>
      <c r="J42" s="55"/>
      <c r="K42" s="55"/>
      <c r="L42" s="56"/>
      <c r="M42" s="56"/>
      <c r="N42" s="56"/>
      <c r="O42" s="56"/>
      <c r="P42" s="56"/>
      <c r="Q42" s="56"/>
      <c r="R42" s="56"/>
      <c r="S42" s="56"/>
      <c r="T42" s="57"/>
      <c r="U42" s="57"/>
      <c r="V42" s="57"/>
      <c r="W42" s="57"/>
      <c r="X42" s="57"/>
      <c r="Y42" s="57"/>
      <c r="Z42" s="57"/>
    </row>
    <row r="43" spans="1:26" s="41" customFormat="1" ht="65" customHeight="1" x14ac:dyDescent="0.2">
      <c r="A43" s="37">
        <v>2</v>
      </c>
      <c r="B43" s="43" t="s">
        <v>265</v>
      </c>
      <c r="C43" s="37" t="s">
        <v>72</v>
      </c>
      <c r="D43" s="37" t="s">
        <v>72</v>
      </c>
      <c r="E43" s="53" t="s">
        <v>73</v>
      </c>
      <c r="F43" s="50">
        <v>4550</v>
      </c>
      <c r="G43" s="50">
        <v>4130</v>
      </c>
      <c r="H43" s="54">
        <f t="shared" si="2"/>
        <v>0.90769230769230769</v>
      </c>
      <c r="I43" s="55"/>
      <c r="J43" s="55"/>
      <c r="K43" s="55"/>
      <c r="L43" s="56"/>
      <c r="M43" s="56"/>
      <c r="N43" s="56"/>
      <c r="O43" s="56"/>
      <c r="P43" s="56"/>
      <c r="Q43" s="56"/>
      <c r="R43" s="56"/>
      <c r="S43" s="56"/>
      <c r="T43" s="57"/>
      <c r="U43" s="57"/>
      <c r="V43" s="57"/>
      <c r="W43" s="57"/>
      <c r="X43" s="57"/>
      <c r="Y43" s="57"/>
      <c r="Z43" s="57"/>
    </row>
    <row r="44" spans="1:26" s="41" customFormat="1" ht="64" customHeight="1" x14ac:dyDescent="0.2">
      <c r="A44" s="37">
        <v>3</v>
      </c>
      <c r="B44" s="43" t="s">
        <v>266</v>
      </c>
      <c r="C44" s="37" t="s">
        <v>81</v>
      </c>
      <c r="D44" s="37" t="s">
        <v>81</v>
      </c>
      <c r="E44" s="53" t="s">
        <v>73</v>
      </c>
      <c r="F44" s="50">
        <v>4550</v>
      </c>
      <c r="G44" s="50">
        <v>4025</v>
      </c>
      <c r="H44" s="54">
        <f t="shared" si="2"/>
        <v>0.88461538461538458</v>
      </c>
      <c r="I44" s="55"/>
      <c r="J44" s="55"/>
      <c r="K44" s="55"/>
      <c r="L44" s="56"/>
      <c r="M44" s="56"/>
      <c r="N44" s="56"/>
      <c r="O44" s="56"/>
      <c r="P44" s="56"/>
      <c r="Q44" s="56"/>
      <c r="R44" s="56"/>
      <c r="S44" s="56"/>
      <c r="T44" s="57"/>
      <c r="U44" s="57"/>
      <c r="V44" s="57"/>
      <c r="W44" s="57"/>
      <c r="X44" s="57"/>
      <c r="Y44" s="57"/>
      <c r="Z44" s="57"/>
    </row>
    <row r="45" spans="1:26" s="41" customFormat="1" ht="75" customHeight="1" x14ac:dyDescent="0.2">
      <c r="A45" s="37">
        <v>4</v>
      </c>
      <c r="B45" s="43" t="s">
        <v>267</v>
      </c>
      <c r="C45" s="37" t="s">
        <v>81</v>
      </c>
      <c r="D45" s="37" t="s">
        <v>81</v>
      </c>
      <c r="E45" s="53" t="s">
        <v>73</v>
      </c>
      <c r="F45" s="50">
        <v>4550</v>
      </c>
      <c r="G45" s="50">
        <v>4025</v>
      </c>
      <c r="H45" s="54">
        <f t="shared" si="2"/>
        <v>0.88461538461538458</v>
      </c>
      <c r="I45" s="55"/>
      <c r="J45" s="55"/>
      <c r="K45" s="55"/>
      <c r="L45" s="56"/>
      <c r="M45" s="56"/>
      <c r="N45" s="56"/>
      <c r="O45" s="56"/>
      <c r="P45" s="56"/>
      <c r="Q45" s="56"/>
      <c r="R45" s="56"/>
      <c r="S45" s="56"/>
      <c r="T45" s="57"/>
      <c r="U45" s="57"/>
      <c r="V45" s="57"/>
      <c r="W45" s="57"/>
      <c r="X45" s="57"/>
      <c r="Y45" s="57"/>
      <c r="Z45" s="57"/>
    </row>
    <row r="46" spans="1:26" s="41" customFormat="1" ht="24" customHeight="1" x14ac:dyDescent="0.2">
      <c r="A46" s="133" t="s">
        <v>268</v>
      </c>
      <c r="B46" s="134"/>
      <c r="C46" s="134"/>
      <c r="D46" s="134"/>
      <c r="E46" s="134"/>
      <c r="F46" s="135"/>
      <c r="G46" s="135"/>
      <c r="H46" s="136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2"/>
      <c r="U46" s="52"/>
      <c r="V46" s="52"/>
      <c r="W46" s="52"/>
      <c r="X46" s="52"/>
      <c r="Y46" s="52"/>
      <c r="Z46" s="52"/>
    </row>
    <row r="47" spans="1:26" s="41" customFormat="1" ht="62.25" customHeight="1" x14ac:dyDescent="0.2">
      <c r="A47" s="37"/>
      <c r="B47" s="43" t="s">
        <v>367</v>
      </c>
      <c r="C47" s="37" t="s">
        <v>72</v>
      </c>
      <c r="D47" s="82" t="s">
        <v>87</v>
      </c>
      <c r="E47" s="53" t="s">
        <v>73</v>
      </c>
      <c r="F47" s="50">
        <v>669550</v>
      </c>
      <c r="G47" s="58">
        <v>444926</v>
      </c>
      <c r="H47" s="54">
        <f t="shared" ref="H47:H52" si="3">(G47/F47)</f>
        <v>0.66451497274288707</v>
      </c>
      <c r="I47" s="141"/>
      <c r="J47" s="141"/>
      <c r="K47" s="141"/>
      <c r="L47" s="56"/>
      <c r="M47" s="56"/>
      <c r="N47" s="56"/>
      <c r="O47" s="56"/>
      <c r="P47" s="56"/>
      <c r="Q47" s="56"/>
      <c r="R47" s="56"/>
      <c r="S47" s="56"/>
      <c r="T47" s="57"/>
      <c r="U47" s="57"/>
      <c r="V47" s="57"/>
      <c r="W47" s="57"/>
      <c r="X47" s="57"/>
      <c r="Y47" s="57"/>
      <c r="Z47" s="57"/>
    </row>
    <row r="48" spans="1:26" s="41" customFormat="1" ht="46.5" customHeight="1" x14ac:dyDescent="0.2">
      <c r="A48" s="37">
        <v>1</v>
      </c>
      <c r="B48" s="43" t="s">
        <v>368</v>
      </c>
      <c r="C48" s="37" t="s">
        <v>81</v>
      </c>
      <c r="D48" s="37" t="s">
        <v>81</v>
      </c>
      <c r="E48" s="53" t="s">
        <v>73</v>
      </c>
      <c r="F48" s="50">
        <v>4550</v>
      </c>
      <c r="G48" s="50">
        <v>4025</v>
      </c>
      <c r="H48" s="54">
        <f t="shared" si="3"/>
        <v>0.88461538461538458</v>
      </c>
      <c r="I48" s="55"/>
      <c r="J48" s="55"/>
      <c r="K48" s="55"/>
      <c r="L48" s="56"/>
      <c r="M48" s="56"/>
      <c r="N48" s="56"/>
      <c r="O48" s="56"/>
      <c r="P48" s="56"/>
      <c r="Q48" s="56"/>
      <c r="R48" s="56"/>
      <c r="S48" s="56"/>
      <c r="T48" s="57"/>
      <c r="U48" s="57"/>
      <c r="V48" s="57"/>
      <c r="W48" s="57"/>
      <c r="X48" s="57"/>
      <c r="Y48" s="57"/>
      <c r="Z48" s="57"/>
    </row>
    <row r="49" spans="1:26" s="41" customFormat="1" ht="46.5" customHeight="1" x14ac:dyDescent="0.2">
      <c r="A49" s="37">
        <v>2</v>
      </c>
      <c r="B49" s="43" t="s">
        <v>269</v>
      </c>
      <c r="C49" s="37" t="s">
        <v>81</v>
      </c>
      <c r="D49" s="82" t="s">
        <v>91</v>
      </c>
      <c r="E49" s="37" t="s">
        <v>89</v>
      </c>
      <c r="F49" s="50">
        <v>4550</v>
      </c>
      <c r="G49" s="38">
        <v>0</v>
      </c>
      <c r="H49" s="39">
        <v>0</v>
      </c>
      <c r="I49" s="55"/>
      <c r="J49" s="55"/>
      <c r="K49" s="55"/>
      <c r="L49" s="56"/>
      <c r="M49" s="56"/>
      <c r="N49" s="56"/>
      <c r="O49" s="56"/>
      <c r="P49" s="56"/>
      <c r="Q49" s="56"/>
      <c r="R49" s="56"/>
      <c r="S49" s="56"/>
      <c r="T49" s="57"/>
      <c r="U49" s="57"/>
      <c r="V49" s="57"/>
      <c r="W49" s="57"/>
      <c r="X49" s="57"/>
      <c r="Y49" s="57"/>
      <c r="Z49" s="57"/>
    </row>
    <row r="50" spans="1:26" s="41" customFormat="1" ht="56" customHeight="1" x14ac:dyDescent="0.2">
      <c r="A50" s="37">
        <v>3</v>
      </c>
      <c r="B50" s="43" t="s">
        <v>270</v>
      </c>
      <c r="C50" s="37" t="s">
        <v>81</v>
      </c>
      <c r="D50" s="82" t="s">
        <v>91</v>
      </c>
      <c r="E50" s="37" t="s">
        <v>89</v>
      </c>
      <c r="F50" s="50">
        <v>4550</v>
      </c>
      <c r="G50" s="38">
        <v>0</v>
      </c>
      <c r="H50" s="39">
        <v>0</v>
      </c>
      <c r="I50" s="55"/>
      <c r="J50" s="55"/>
      <c r="K50" s="55"/>
      <c r="L50" s="56"/>
      <c r="M50" s="56"/>
      <c r="N50" s="56"/>
      <c r="O50" s="56"/>
      <c r="P50" s="56"/>
      <c r="Q50" s="56"/>
      <c r="R50" s="56"/>
      <c r="S50" s="56"/>
      <c r="T50" s="57"/>
      <c r="U50" s="57"/>
      <c r="V50" s="57"/>
      <c r="W50" s="57"/>
      <c r="X50" s="57"/>
      <c r="Y50" s="57"/>
      <c r="Z50" s="57"/>
    </row>
    <row r="51" spans="1:26" s="41" customFormat="1" ht="46.5" customHeight="1" x14ac:dyDescent="0.2">
      <c r="A51" s="37">
        <v>4</v>
      </c>
      <c r="B51" s="43" t="s">
        <v>271</v>
      </c>
      <c r="C51" s="37" t="s">
        <v>81</v>
      </c>
      <c r="D51" s="82" t="s">
        <v>91</v>
      </c>
      <c r="E51" s="37" t="s">
        <v>89</v>
      </c>
      <c r="F51" s="50">
        <v>4550</v>
      </c>
      <c r="G51" s="38">
        <v>0</v>
      </c>
      <c r="H51" s="39">
        <v>0</v>
      </c>
      <c r="I51" s="55"/>
      <c r="J51" s="55"/>
      <c r="K51" s="55"/>
      <c r="L51" s="56"/>
      <c r="M51" s="56"/>
      <c r="N51" s="56"/>
      <c r="O51" s="56"/>
      <c r="P51" s="56"/>
      <c r="Q51" s="56"/>
      <c r="R51" s="56"/>
      <c r="S51" s="56"/>
      <c r="T51" s="57"/>
      <c r="U51" s="57"/>
      <c r="V51" s="57"/>
      <c r="W51" s="57"/>
      <c r="X51" s="57"/>
      <c r="Y51" s="57"/>
      <c r="Z51" s="57"/>
    </row>
    <row r="52" spans="1:26" s="41" customFormat="1" ht="46.5" customHeight="1" x14ac:dyDescent="0.2">
      <c r="A52" s="37">
        <v>5</v>
      </c>
      <c r="B52" s="43" t="s">
        <v>272</v>
      </c>
      <c r="C52" s="37" t="s">
        <v>81</v>
      </c>
      <c r="D52" s="37" t="s">
        <v>81</v>
      </c>
      <c r="E52" s="53" t="s">
        <v>73</v>
      </c>
      <c r="F52" s="50">
        <v>4550</v>
      </c>
      <c r="G52" s="50">
        <v>4200</v>
      </c>
      <c r="H52" s="54">
        <f t="shared" si="3"/>
        <v>0.92307692307692313</v>
      </c>
      <c r="I52" s="55"/>
      <c r="J52" s="55"/>
      <c r="K52" s="55"/>
      <c r="L52" s="56"/>
      <c r="M52" s="56"/>
      <c r="N52" s="56"/>
      <c r="O52" s="56"/>
      <c r="P52" s="56"/>
      <c r="Q52" s="56"/>
      <c r="R52" s="56"/>
      <c r="S52" s="56"/>
      <c r="T52" s="57"/>
      <c r="U52" s="57"/>
      <c r="V52" s="57"/>
      <c r="W52" s="57"/>
      <c r="X52" s="57"/>
      <c r="Y52" s="57"/>
      <c r="Z52" s="57"/>
    </row>
    <row r="53" spans="1:26" s="41" customFormat="1" ht="46.5" customHeight="1" x14ac:dyDescent="0.2">
      <c r="A53" s="37">
        <v>6</v>
      </c>
      <c r="B53" s="43" t="s">
        <v>273</v>
      </c>
      <c r="C53" s="37" t="s">
        <v>81</v>
      </c>
      <c r="D53" s="82" t="s">
        <v>91</v>
      </c>
      <c r="E53" s="37" t="s">
        <v>89</v>
      </c>
      <c r="F53" s="50">
        <v>4550</v>
      </c>
      <c r="G53" s="38">
        <v>0</v>
      </c>
      <c r="H53" s="39">
        <v>0</v>
      </c>
      <c r="I53" s="55"/>
      <c r="J53" s="55"/>
      <c r="K53" s="55"/>
      <c r="L53" s="56"/>
      <c r="M53" s="56"/>
      <c r="N53" s="56"/>
      <c r="O53" s="56"/>
      <c r="P53" s="56"/>
      <c r="Q53" s="56"/>
      <c r="R53" s="56"/>
      <c r="S53" s="56"/>
      <c r="T53" s="57"/>
      <c r="U53" s="57"/>
      <c r="V53" s="57"/>
      <c r="W53" s="57"/>
      <c r="X53" s="57"/>
      <c r="Y53" s="57"/>
      <c r="Z53" s="57"/>
    </row>
    <row r="54" spans="1:26" s="41" customFormat="1" ht="46.5" customHeight="1" x14ac:dyDescent="0.2">
      <c r="A54" s="37">
        <v>7</v>
      </c>
      <c r="B54" s="43" t="s">
        <v>274</v>
      </c>
      <c r="C54" s="37" t="s">
        <v>81</v>
      </c>
      <c r="D54" s="82" t="s">
        <v>91</v>
      </c>
      <c r="E54" s="37" t="s">
        <v>89</v>
      </c>
      <c r="F54" s="50">
        <v>4550</v>
      </c>
      <c r="G54" s="38">
        <v>0</v>
      </c>
      <c r="H54" s="39">
        <v>0</v>
      </c>
      <c r="I54" s="55"/>
      <c r="J54" s="55"/>
      <c r="K54" s="55"/>
      <c r="L54" s="56"/>
      <c r="M54" s="56"/>
      <c r="N54" s="56"/>
      <c r="O54" s="56"/>
      <c r="P54" s="56"/>
      <c r="Q54" s="56"/>
      <c r="R54" s="56"/>
      <c r="S54" s="56"/>
      <c r="T54" s="57"/>
      <c r="U54" s="57"/>
      <c r="V54" s="57"/>
      <c r="W54" s="57"/>
      <c r="X54" s="57"/>
      <c r="Y54" s="57"/>
      <c r="Z54" s="57"/>
    </row>
    <row r="55" spans="1:26" s="41" customFormat="1" ht="46.5" customHeight="1" x14ac:dyDescent="0.2">
      <c r="A55" s="37">
        <v>8</v>
      </c>
      <c r="B55" s="43" t="s">
        <v>275</v>
      </c>
      <c r="C55" s="37" t="s">
        <v>81</v>
      </c>
      <c r="D55" s="82" t="s">
        <v>91</v>
      </c>
      <c r="E55" s="37" t="s">
        <v>89</v>
      </c>
      <c r="F55" s="50">
        <v>4550</v>
      </c>
      <c r="G55" s="38">
        <v>0</v>
      </c>
      <c r="H55" s="39">
        <v>0</v>
      </c>
      <c r="I55" s="55"/>
      <c r="J55" s="55"/>
      <c r="K55" s="55"/>
      <c r="L55" s="56"/>
      <c r="M55" s="56"/>
      <c r="N55" s="56"/>
      <c r="O55" s="56"/>
      <c r="P55" s="56"/>
      <c r="Q55" s="56"/>
      <c r="R55" s="56"/>
      <c r="S55" s="56"/>
      <c r="T55" s="57"/>
      <c r="U55" s="57"/>
      <c r="V55" s="57"/>
      <c r="W55" s="57"/>
      <c r="X55" s="57"/>
      <c r="Y55" s="57"/>
      <c r="Z55" s="57"/>
    </row>
    <row r="56" spans="1:26" s="41" customFormat="1" ht="24" customHeight="1" x14ac:dyDescent="0.2">
      <c r="A56" s="133" t="s">
        <v>276</v>
      </c>
      <c r="B56" s="134"/>
      <c r="C56" s="134"/>
      <c r="D56" s="134"/>
      <c r="E56" s="134"/>
      <c r="F56" s="135"/>
      <c r="G56" s="135"/>
      <c r="H56" s="136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2"/>
      <c r="U56" s="52"/>
      <c r="V56" s="52"/>
      <c r="W56" s="52"/>
      <c r="X56" s="52"/>
      <c r="Y56" s="52"/>
      <c r="Z56" s="52"/>
    </row>
    <row r="57" spans="1:26" s="41" customFormat="1" ht="46.5" customHeight="1" x14ac:dyDescent="0.2">
      <c r="A57" s="37">
        <v>1</v>
      </c>
      <c r="B57" s="43" t="s">
        <v>277</v>
      </c>
      <c r="C57" s="37" t="s">
        <v>84</v>
      </c>
      <c r="D57" s="82" t="s">
        <v>81</v>
      </c>
      <c r="E57" s="53" t="s">
        <v>73</v>
      </c>
      <c r="F57" s="50">
        <v>4550</v>
      </c>
      <c r="G57" s="50">
        <v>4025</v>
      </c>
      <c r="H57" s="54">
        <f t="shared" ref="H57:H59" si="4">(G57/F57)</f>
        <v>0.88461538461538458</v>
      </c>
      <c r="I57" s="55"/>
      <c r="J57" s="55"/>
      <c r="K57" s="55"/>
      <c r="L57" s="56"/>
      <c r="M57" s="56"/>
      <c r="N57" s="56"/>
      <c r="O57" s="56"/>
      <c r="P57" s="56"/>
      <c r="Q57" s="56"/>
      <c r="R57" s="56"/>
      <c r="S57" s="56"/>
      <c r="T57" s="57"/>
      <c r="U57" s="57"/>
      <c r="V57" s="57"/>
      <c r="W57" s="57"/>
      <c r="X57" s="57"/>
      <c r="Y57" s="57"/>
      <c r="Z57" s="57"/>
    </row>
    <row r="58" spans="1:26" s="41" customFormat="1" ht="46.5" customHeight="1" x14ac:dyDescent="0.2">
      <c r="A58" s="37">
        <v>2</v>
      </c>
      <c r="B58" s="43" t="s">
        <v>278</v>
      </c>
      <c r="C58" s="37" t="s">
        <v>87</v>
      </c>
      <c r="D58" s="82" t="s">
        <v>81</v>
      </c>
      <c r="E58" s="53" t="s">
        <v>73</v>
      </c>
      <c r="F58" s="50">
        <v>4550</v>
      </c>
      <c r="G58" s="50">
        <v>4025</v>
      </c>
      <c r="H58" s="54">
        <f t="shared" si="4"/>
        <v>0.88461538461538458</v>
      </c>
      <c r="I58" s="55"/>
      <c r="J58" s="55"/>
      <c r="K58" s="55"/>
      <c r="L58" s="56"/>
      <c r="M58" s="56"/>
      <c r="N58" s="56"/>
      <c r="O58" s="56"/>
      <c r="P58" s="56"/>
      <c r="Q58" s="56"/>
      <c r="R58" s="56"/>
      <c r="S58" s="56"/>
      <c r="T58" s="57"/>
      <c r="U58" s="57"/>
      <c r="V58" s="57"/>
      <c r="W58" s="57"/>
      <c r="X58" s="57"/>
      <c r="Y58" s="57"/>
      <c r="Z58" s="57"/>
    </row>
    <row r="59" spans="1:26" s="41" customFormat="1" ht="46.5" customHeight="1" x14ac:dyDescent="0.2">
      <c r="A59" s="37">
        <v>3</v>
      </c>
      <c r="B59" s="43" t="s">
        <v>279</v>
      </c>
      <c r="C59" s="37" t="s">
        <v>91</v>
      </c>
      <c r="D59" s="82" t="s">
        <v>81</v>
      </c>
      <c r="E59" s="53" t="s">
        <v>73</v>
      </c>
      <c r="F59" s="50">
        <v>4550</v>
      </c>
      <c r="G59" s="50">
        <v>4025</v>
      </c>
      <c r="H59" s="54">
        <f t="shared" si="4"/>
        <v>0.88461538461538458</v>
      </c>
      <c r="I59" s="55"/>
      <c r="J59" s="55"/>
      <c r="K59" s="55"/>
      <c r="L59" s="56"/>
      <c r="M59" s="56"/>
      <c r="N59" s="56"/>
      <c r="O59" s="56"/>
      <c r="P59" s="56"/>
      <c r="Q59" s="56"/>
      <c r="R59" s="56"/>
      <c r="S59" s="56"/>
      <c r="T59" s="57"/>
      <c r="U59" s="57"/>
      <c r="V59" s="57"/>
      <c r="W59" s="57"/>
      <c r="X59" s="57"/>
      <c r="Y59" s="57"/>
      <c r="Z59" s="57"/>
    </row>
    <row r="73" spans="1:19" s="1" customFormat="1" ht="20" customHeight="1" x14ac:dyDescent="0.2">
      <c r="A73" s="103" t="s">
        <v>0</v>
      </c>
      <c r="B73" s="104"/>
      <c r="C73" s="104"/>
      <c r="D73" s="104"/>
      <c r="E73" s="104"/>
      <c r="F73" s="104"/>
      <c r="G73" s="104"/>
      <c r="H73" s="104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s="1" customFormat="1" ht="20" customHeight="1" x14ac:dyDescent="0.2">
      <c r="A74" s="105" t="s">
        <v>60</v>
      </c>
      <c r="B74" s="106"/>
      <c r="C74" s="106"/>
      <c r="D74" s="106"/>
      <c r="E74" s="106"/>
      <c r="F74" s="106"/>
      <c r="G74" s="106"/>
      <c r="H74" s="10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</row>
    <row r="75" spans="1:19" s="1" customFormat="1" ht="20" customHeight="1" x14ac:dyDescent="0.2">
      <c r="A75" s="107" t="s">
        <v>369</v>
      </c>
      <c r="B75" s="108"/>
      <c r="C75" s="108"/>
      <c r="D75" s="108"/>
      <c r="E75" s="108"/>
      <c r="F75" s="108"/>
      <c r="G75" s="108"/>
      <c r="H75" s="108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ht="17" x14ac:dyDescent="0.2">
      <c r="A76" s="109"/>
      <c r="B76" s="109"/>
      <c r="C76" s="109"/>
      <c r="D76" s="109"/>
      <c r="E76" s="109"/>
      <c r="F76" s="109"/>
      <c r="G76" s="109"/>
      <c r="H76" s="109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2" customFormat="1" ht="20" customHeight="1" x14ac:dyDescent="0.2">
      <c r="A77" s="110" t="s">
        <v>62</v>
      </c>
      <c r="B77" s="111"/>
      <c r="C77" s="111"/>
      <c r="D77" s="111"/>
      <c r="E77" s="111"/>
      <c r="F77" s="111"/>
      <c r="G77" s="111"/>
      <c r="H77" s="111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2" customFormat="1" ht="20" customHeight="1" x14ac:dyDescent="0.2">
      <c r="A78" s="102" t="s">
        <v>63</v>
      </c>
      <c r="B78" s="102"/>
      <c r="C78" s="102"/>
      <c r="D78" s="102"/>
      <c r="E78" s="102"/>
      <c r="F78" s="102"/>
      <c r="G78" s="102"/>
      <c r="H78" s="102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 s="2" customFormat="1" ht="20" customHeight="1" x14ac:dyDescent="0.2">
      <c r="A79" s="8"/>
      <c r="B79" s="9"/>
      <c r="C79" s="9"/>
      <c r="D79" s="9"/>
      <c r="E79" s="9"/>
      <c r="F79" s="9"/>
      <c r="G79" s="9"/>
      <c r="H79" s="9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s="3" customFormat="1" ht="24" customHeight="1" x14ac:dyDescent="0.2">
      <c r="A80" s="11" t="s">
        <v>64</v>
      </c>
      <c r="B80" s="12" t="s">
        <v>65</v>
      </c>
      <c r="C80" s="11" t="s">
        <v>66</v>
      </c>
      <c r="D80" s="12" t="s">
        <v>67</v>
      </c>
      <c r="E80" s="11" t="s">
        <v>68</v>
      </c>
      <c r="F80" s="11" t="s">
        <v>69</v>
      </c>
      <c r="G80" s="12" t="s">
        <v>70</v>
      </c>
      <c r="H80" s="11" t="s">
        <v>57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</row>
    <row r="81" spans="1:26" s="41" customFormat="1" ht="24" customHeight="1" x14ac:dyDescent="0.2">
      <c r="A81" s="133" t="s">
        <v>280</v>
      </c>
      <c r="B81" s="134"/>
      <c r="C81" s="134"/>
      <c r="D81" s="134"/>
      <c r="E81" s="134"/>
      <c r="F81" s="135"/>
      <c r="G81" s="135"/>
      <c r="H81" s="136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2"/>
      <c r="U81" s="52"/>
      <c r="V81" s="52"/>
      <c r="W81" s="52"/>
      <c r="X81" s="52"/>
      <c r="Y81" s="52"/>
      <c r="Z81" s="52"/>
    </row>
    <row r="82" spans="1:26" s="41" customFormat="1" ht="31" customHeight="1" x14ac:dyDescent="0.2">
      <c r="A82" s="37">
        <v>1</v>
      </c>
      <c r="B82" s="43" t="s">
        <v>201</v>
      </c>
      <c r="C82" s="37" t="s">
        <v>141</v>
      </c>
      <c r="D82" s="82" t="s">
        <v>72</v>
      </c>
      <c r="E82" s="53" t="s">
        <v>73</v>
      </c>
      <c r="F82" s="50" t="s">
        <v>227</v>
      </c>
      <c r="G82" s="50" t="s">
        <v>154</v>
      </c>
      <c r="H82" s="54" t="s">
        <v>154</v>
      </c>
      <c r="I82" s="55"/>
      <c r="J82" s="55"/>
      <c r="K82" s="55"/>
      <c r="L82" s="56"/>
      <c r="M82" s="56"/>
      <c r="N82" s="56"/>
      <c r="O82" s="56"/>
      <c r="P82" s="56"/>
      <c r="Q82" s="56"/>
      <c r="R82" s="56"/>
      <c r="S82" s="56"/>
      <c r="T82" s="57"/>
      <c r="U82" s="57"/>
      <c r="V82" s="57"/>
      <c r="W82" s="57"/>
      <c r="X82" s="57"/>
      <c r="Y82" s="57"/>
      <c r="Z82" s="57"/>
    </row>
    <row r="83" spans="1:26" s="41" customFormat="1" ht="33" customHeight="1" x14ac:dyDescent="0.2">
      <c r="A83" s="37">
        <v>2</v>
      </c>
      <c r="B83" s="43" t="s">
        <v>77</v>
      </c>
      <c r="C83" s="37" t="s">
        <v>72</v>
      </c>
      <c r="D83" s="82" t="s">
        <v>281</v>
      </c>
      <c r="E83" s="53" t="s">
        <v>73</v>
      </c>
      <c r="F83" s="50">
        <v>7880</v>
      </c>
      <c r="G83" s="50">
        <v>5380</v>
      </c>
      <c r="H83" s="54">
        <f>(G83/F83)</f>
        <v>0.68274111675126903</v>
      </c>
      <c r="I83" s="55"/>
      <c r="J83" s="55"/>
      <c r="K83" s="55"/>
      <c r="L83" s="56"/>
      <c r="M83" s="56"/>
      <c r="N83" s="56"/>
      <c r="O83" s="56"/>
      <c r="P83" s="56"/>
      <c r="Q83" s="56"/>
      <c r="R83" s="56"/>
      <c r="S83" s="56"/>
      <c r="T83" s="57"/>
      <c r="U83" s="57"/>
      <c r="V83" s="57"/>
      <c r="W83" s="57"/>
      <c r="X83" s="57"/>
      <c r="Y83" s="57"/>
      <c r="Z83" s="57"/>
    </row>
    <row r="84" spans="1:26" s="41" customFormat="1" ht="46.5" customHeight="1" x14ac:dyDescent="0.2">
      <c r="A84" s="37">
        <v>3</v>
      </c>
      <c r="B84" s="43" t="s">
        <v>282</v>
      </c>
      <c r="C84" s="37" t="s">
        <v>72</v>
      </c>
      <c r="D84" s="37" t="s">
        <v>72</v>
      </c>
      <c r="E84" s="53" t="s">
        <v>73</v>
      </c>
      <c r="F84" s="50" t="s">
        <v>227</v>
      </c>
      <c r="G84" s="50" t="s">
        <v>154</v>
      </c>
      <c r="H84" s="50" t="s">
        <v>154</v>
      </c>
      <c r="I84" s="55"/>
      <c r="J84" s="55"/>
      <c r="K84" s="55"/>
      <c r="L84" s="56"/>
      <c r="M84" s="56"/>
      <c r="N84" s="56"/>
      <c r="O84" s="56"/>
      <c r="P84" s="56"/>
      <c r="Q84" s="56"/>
      <c r="R84" s="56"/>
      <c r="S84" s="56"/>
      <c r="T84" s="57"/>
      <c r="U84" s="57"/>
      <c r="V84" s="57"/>
      <c r="W84" s="57"/>
      <c r="X84" s="57"/>
      <c r="Y84" s="57"/>
      <c r="Z84" s="57"/>
    </row>
    <row r="85" spans="1:26" s="41" customFormat="1" ht="24" customHeight="1" x14ac:dyDescent="0.2">
      <c r="A85" s="133" t="s">
        <v>283</v>
      </c>
      <c r="B85" s="134"/>
      <c r="C85" s="134"/>
      <c r="D85" s="134"/>
      <c r="E85" s="134"/>
      <c r="F85" s="135"/>
      <c r="G85" s="135"/>
      <c r="H85" s="136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2"/>
      <c r="U85" s="52"/>
      <c r="V85" s="52"/>
      <c r="W85" s="52"/>
      <c r="X85" s="52"/>
      <c r="Y85" s="52"/>
      <c r="Z85" s="52"/>
    </row>
    <row r="86" spans="1:26" s="41" customFormat="1" ht="35" customHeight="1" x14ac:dyDescent="0.2">
      <c r="A86" s="37">
        <v>1</v>
      </c>
      <c r="B86" s="43" t="s">
        <v>284</v>
      </c>
      <c r="C86" s="37" t="s">
        <v>72</v>
      </c>
      <c r="D86" s="37" t="s">
        <v>72</v>
      </c>
      <c r="E86" s="53" t="s">
        <v>73</v>
      </c>
      <c r="F86" s="50" t="s">
        <v>154</v>
      </c>
      <c r="G86" s="50" t="s">
        <v>154</v>
      </c>
      <c r="H86" s="50" t="s">
        <v>154</v>
      </c>
      <c r="I86" s="55"/>
      <c r="J86" s="55"/>
      <c r="K86" s="55"/>
      <c r="L86" s="56"/>
      <c r="M86" s="56"/>
      <c r="N86" s="56"/>
      <c r="O86" s="56"/>
      <c r="P86" s="56"/>
      <c r="Q86" s="56"/>
      <c r="R86" s="56"/>
      <c r="S86" s="56"/>
      <c r="T86" s="57"/>
      <c r="U86" s="57"/>
      <c r="V86" s="57"/>
      <c r="W86" s="57"/>
      <c r="X86" s="57"/>
      <c r="Y86" s="57"/>
      <c r="Z86" s="57"/>
    </row>
    <row r="87" spans="1:26" s="41" customFormat="1" ht="36" customHeight="1" x14ac:dyDescent="0.2">
      <c r="A87" s="37">
        <v>2</v>
      </c>
      <c r="B87" s="43" t="s">
        <v>262</v>
      </c>
      <c r="C87" s="37" t="s">
        <v>72</v>
      </c>
      <c r="D87" s="37" t="s">
        <v>72</v>
      </c>
      <c r="E87" s="53" t="s">
        <v>73</v>
      </c>
      <c r="F87" s="50" t="s">
        <v>154</v>
      </c>
      <c r="G87" s="50" t="s">
        <v>154</v>
      </c>
      <c r="H87" s="50" t="s">
        <v>154</v>
      </c>
      <c r="I87" s="55"/>
      <c r="J87" s="55"/>
      <c r="K87" s="55"/>
      <c r="L87" s="56"/>
      <c r="M87" s="56"/>
      <c r="N87" s="56"/>
      <c r="O87" s="56"/>
      <c r="P87" s="56"/>
      <c r="Q87" s="56"/>
      <c r="R87" s="56"/>
      <c r="S87" s="56"/>
      <c r="T87" s="57"/>
      <c r="U87" s="57"/>
      <c r="V87" s="57"/>
      <c r="W87" s="57"/>
      <c r="X87" s="57"/>
      <c r="Y87" s="57"/>
      <c r="Z87" s="57"/>
    </row>
    <row r="88" spans="1:26" s="41" customFormat="1" ht="24" customHeight="1" x14ac:dyDescent="0.2">
      <c r="A88" s="133" t="s">
        <v>285</v>
      </c>
      <c r="B88" s="134"/>
      <c r="C88" s="134"/>
      <c r="D88" s="134"/>
      <c r="E88" s="134"/>
      <c r="F88" s="135"/>
      <c r="G88" s="135"/>
      <c r="H88" s="136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2"/>
      <c r="U88" s="52"/>
      <c r="V88" s="52"/>
      <c r="W88" s="52"/>
      <c r="X88" s="52"/>
      <c r="Y88" s="52"/>
      <c r="Z88" s="52"/>
    </row>
    <row r="89" spans="1:26" s="41" customFormat="1" ht="68" customHeight="1" x14ac:dyDescent="0.2">
      <c r="A89" s="37">
        <v>1</v>
      </c>
      <c r="B89" s="43" t="s">
        <v>286</v>
      </c>
      <c r="C89" s="37" t="s">
        <v>72</v>
      </c>
      <c r="D89" s="82" t="s">
        <v>84</v>
      </c>
      <c r="E89" s="53" t="s">
        <v>73</v>
      </c>
      <c r="F89" s="50">
        <v>4550</v>
      </c>
      <c r="G89" s="50">
        <v>4025</v>
      </c>
      <c r="H89" s="54">
        <f t="shared" ref="H89:H92" si="5">G89/F89</f>
        <v>0.88461538461538458</v>
      </c>
      <c r="I89" s="55"/>
      <c r="J89" s="55"/>
      <c r="K89" s="55"/>
      <c r="L89" s="56"/>
      <c r="M89" s="56"/>
      <c r="N89" s="56"/>
      <c r="O89" s="56"/>
      <c r="P89" s="56"/>
      <c r="Q89" s="56"/>
      <c r="R89" s="56"/>
      <c r="S89" s="56"/>
      <c r="T89" s="57"/>
      <c r="U89" s="57"/>
      <c r="V89" s="57"/>
      <c r="W89" s="57"/>
      <c r="X89" s="57"/>
      <c r="Y89" s="57"/>
      <c r="Z89" s="57"/>
    </row>
    <row r="90" spans="1:26" s="41" customFormat="1" ht="46.5" customHeight="1" x14ac:dyDescent="0.2">
      <c r="A90" s="37">
        <v>2</v>
      </c>
      <c r="B90" s="43" t="s">
        <v>287</v>
      </c>
      <c r="C90" s="37" t="s">
        <v>81</v>
      </c>
      <c r="D90" s="82" t="s">
        <v>84</v>
      </c>
      <c r="E90" s="53" t="s">
        <v>73</v>
      </c>
      <c r="F90" s="50">
        <v>4550</v>
      </c>
      <c r="G90" s="50">
        <v>4200</v>
      </c>
      <c r="H90" s="54">
        <f t="shared" si="5"/>
        <v>0.92307692307692313</v>
      </c>
      <c r="I90" s="55"/>
      <c r="J90" s="55"/>
      <c r="K90" s="55"/>
      <c r="L90" s="56"/>
      <c r="M90" s="56"/>
      <c r="N90" s="56"/>
      <c r="O90" s="56"/>
      <c r="P90" s="56"/>
      <c r="Q90" s="56"/>
      <c r="R90" s="56"/>
      <c r="S90" s="56"/>
      <c r="T90" s="57"/>
      <c r="U90" s="57"/>
      <c r="V90" s="57"/>
      <c r="W90" s="57"/>
      <c r="X90" s="57"/>
      <c r="Y90" s="57"/>
      <c r="Z90" s="57"/>
    </row>
    <row r="91" spans="1:26" s="41" customFormat="1" ht="33" customHeight="1" x14ac:dyDescent="0.2">
      <c r="A91" s="37">
        <v>3</v>
      </c>
      <c r="B91" s="43" t="s">
        <v>288</v>
      </c>
      <c r="C91" s="37" t="s">
        <v>81</v>
      </c>
      <c r="D91" s="82" t="s">
        <v>84</v>
      </c>
      <c r="E91" s="53" t="s">
        <v>73</v>
      </c>
      <c r="F91" s="50">
        <v>4550</v>
      </c>
      <c r="G91" s="50">
        <v>4200</v>
      </c>
      <c r="H91" s="54">
        <f t="shared" si="5"/>
        <v>0.92307692307692313</v>
      </c>
      <c r="I91" s="55"/>
      <c r="J91" s="55"/>
      <c r="K91" s="55"/>
      <c r="L91" s="56"/>
      <c r="M91" s="56"/>
      <c r="N91" s="56"/>
      <c r="O91" s="56"/>
      <c r="P91" s="56"/>
      <c r="Q91" s="56"/>
      <c r="R91" s="56"/>
      <c r="S91" s="56"/>
      <c r="T91" s="57"/>
      <c r="U91" s="57"/>
      <c r="V91" s="57"/>
      <c r="W91" s="57"/>
      <c r="X91" s="57"/>
      <c r="Y91" s="57"/>
      <c r="Z91" s="57"/>
    </row>
    <row r="92" spans="1:26" s="41" customFormat="1" ht="46.5" customHeight="1" x14ac:dyDescent="0.2">
      <c r="A92" s="37">
        <v>4</v>
      </c>
      <c r="B92" s="43" t="s">
        <v>289</v>
      </c>
      <c r="C92" s="37" t="s">
        <v>81</v>
      </c>
      <c r="D92" s="82" t="s">
        <v>91</v>
      </c>
      <c r="E92" s="37" t="s">
        <v>89</v>
      </c>
      <c r="F92" s="50">
        <v>4550</v>
      </c>
      <c r="G92" s="50">
        <v>0</v>
      </c>
      <c r="H92" s="54">
        <f t="shared" si="5"/>
        <v>0</v>
      </c>
      <c r="I92" s="55"/>
      <c r="J92" s="55"/>
      <c r="K92" s="55"/>
      <c r="L92" s="56"/>
      <c r="M92" s="56"/>
      <c r="N92" s="56"/>
      <c r="O92" s="56"/>
      <c r="P92" s="56"/>
      <c r="Q92" s="56"/>
      <c r="R92" s="56"/>
      <c r="S92" s="56"/>
      <c r="T92" s="57"/>
      <c r="U92" s="57"/>
      <c r="V92" s="57"/>
      <c r="W92" s="57"/>
      <c r="X92" s="57"/>
      <c r="Y92" s="57"/>
      <c r="Z92" s="57"/>
    </row>
    <row r="93" spans="1:26" s="41" customFormat="1" ht="24" customHeight="1" x14ac:dyDescent="0.2">
      <c r="A93" s="133" t="s">
        <v>290</v>
      </c>
      <c r="B93" s="134"/>
      <c r="C93" s="134"/>
      <c r="D93" s="134"/>
      <c r="E93" s="134"/>
      <c r="F93" s="135"/>
      <c r="G93" s="135"/>
      <c r="H93" s="136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2"/>
      <c r="U93" s="52"/>
      <c r="V93" s="52"/>
      <c r="W93" s="52"/>
      <c r="X93" s="52"/>
      <c r="Y93" s="52"/>
      <c r="Z93" s="52"/>
    </row>
    <row r="94" spans="1:26" s="41" customFormat="1" ht="33" customHeight="1" x14ac:dyDescent="0.2">
      <c r="A94" s="37">
        <v>1</v>
      </c>
      <c r="B94" s="43" t="s">
        <v>291</v>
      </c>
      <c r="C94" s="37" t="s">
        <v>81</v>
      </c>
      <c r="D94" s="82" t="s">
        <v>91</v>
      </c>
      <c r="E94" s="37" t="s">
        <v>89</v>
      </c>
      <c r="F94" s="50">
        <v>4550</v>
      </c>
      <c r="G94" s="50">
        <v>0</v>
      </c>
      <c r="H94" s="54">
        <f t="shared" ref="H94:H97" si="6">G94/F94</f>
        <v>0</v>
      </c>
      <c r="I94" s="55"/>
      <c r="J94" s="55"/>
      <c r="K94" s="55"/>
      <c r="L94" s="56"/>
      <c r="M94" s="56"/>
      <c r="N94" s="56"/>
      <c r="O94" s="56"/>
      <c r="P94" s="56"/>
      <c r="Q94" s="56"/>
      <c r="R94" s="56"/>
      <c r="S94" s="56"/>
      <c r="T94" s="57"/>
      <c r="U94" s="57"/>
      <c r="V94" s="57"/>
      <c r="W94" s="57"/>
      <c r="X94" s="57"/>
      <c r="Y94" s="57"/>
      <c r="Z94" s="57"/>
    </row>
    <row r="95" spans="1:26" s="41" customFormat="1" ht="55" customHeight="1" x14ac:dyDescent="0.2">
      <c r="A95" s="37">
        <v>2</v>
      </c>
      <c r="B95" s="43" t="s">
        <v>292</v>
      </c>
      <c r="C95" s="37" t="s">
        <v>84</v>
      </c>
      <c r="D95" s="82" t="s">
        <v>91</v>
      </c>
      <c r="E95" s="37" t="s">
        <v>89</v>
      </c>
      <c r="F95" s="50">
        <v>4550</v>
      </c>
      <c r="G95" s="50">
        <v>0</v>
      </c>
      <c r="H95" s="54">
        <f t="shared" si="6"/>
        <v>0</v>
      </c>
      <c r="I95" s="55"/>
      <c r="J95" s="55"/>
      <c r="K95" s="55"/>
      <c r="L95" s="56"/>
      <c r="M95" s="56"/>
      <c r="N95" s="56"/>
      <c r="O95" s="56"/>
      <c r="P95" s="56"/>
      <c r="Q95" s="56"/>
      <c r="R95" s="56"/>
      <c r="S95" s="56"/>
      <c r="T95" s="57"/>
      <c r="U95" s="57"/>
      <c r="V95" s="57"/>
      <c r="W95" s="57"/>
      <c r="X95" s="57"/>
      <c r="Y95" s="57"/>
      <c r="Z95" s="57"/>
    </row>
    <row r="96" spans="1:26" s="41" customFormat="1" ht="46.5" customHeight="1" x14ac:dyDescent="0.2">
      <c r="A96" s="37">
        <v>3</v>
      </c>
      <c r="B96" s="43" t="s">
        <v>293</v>
      </c>
      <c r="C96" s="37" t="s">
        <v>294</v>
      </c>
      <c r="D96" s="82" t="s">
        <v>91</v>
      </c>
      <c r="E96" s="37" t="s">
        <v>89</v>
      </c>
      <c r="F96" s="50">
        <v>2000</v>
      </c>
      <c r="G96" s="50">
        <v>0</v>
      </c>
      <c r="H96" s="54">
        <f t="shared" si="6"/>
        <v>0</v>
      </c>
      <c r="I96" s="55"/>
      <c r="J96" s="55"/>
      <c r="K96" s="55"/>
      <c r="L96" s="56"/>
      <c r="M96" s="56"/>
      <c r="N96" s="56"/>
      <c r="O96" s="56"/>
      <c r="P96" s="56"/>
      <c r="Q96" s="56"/>
      <c r="R96" s="56"/>
      <c r="S96" s="56"/>
      <c r="T96" s="57"/>
      <c r="U96" s="57"/>
      <c r="V96" s="57"/>
      <c r="W96" s="57"/>
      <c r="X96" s="57"/>
      <c r="Y96" s="57"/>
      <c r="Z96" s="57"/>
    </row>
    <row r="97" spans="1:26" s="41" customFormat="1" ht="73" customHeight="1" x14ac:dyDescent="0.2">
      <c r="A97" s="37">
        <v>4</v>
      </c>
      <c r="B97" s="43" t="s">
        <v>295</v>
      </c>
      <c r="C97" s="37" t="s">
        <v>294</v>
      </c>
      <c r="D97" s="82" t="s">
        <v>91</v>
      </c>
      <c r="E97" s="37" t="s">
        <v>89</v>
      </c>
      <c r="F97" s="50">
        <v>2000</v>
      </c>
      <c r="G97" s="50">
        <v>0</v>
      </c>
      <c r="H97" s="54">
        <f t="shared" si="6"/>
        <v>0</v>
      </c>
      <c r="I97" s="55"/>
      <c r="J97" s="55"/>
      <c r="K97" s="55"/>
      <c r="L97" s="56"/>
      <c r="M97" s="56"/>
      <c r="N97" s="56"/>
      <c r="O97" s="56"/>
      <c r="P97" s="56"/>
      <c r="Q97" s="56"/>
      <c r="R97" s="56"/>
      <c r="S97" s="56"/>
      <c r="T97" s="57"/>
      <c r="U97" s="57"/>
      <c r="V97" s="57"/>
      <c r="W97" s="57"/>
      <c r="X97" s="57"/>
      <c r="Y97" s="57"/>
      <c r="Z97" s="57"/>
    </row>
    <row r="98" spans="1:26" s="1" customFormat="1" ht="20" customHeight="1" x14ac:dyDescent="0.2">
      <c r="A98" s="103" t="s">
        <v>0</v>
      </c>
      <c r="B98" s="104"/>
      <c r="C98" s="104"/>
      <c r="D98" s="104"/>
      <c r="E98" s="104"/>
      <c r="F98" s="104"/>
      <c r="G98" s="104"/>
      <c r="H98" s="104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</row>
    <row r="99" spans="1:26" s="1" customFormat="1" ht="20" customHeight="1" x14ac:dyDescent="0.2">
      <c r="A99" s="105" t="s">
        <v>60</v>
      </c>
      <c r="B99" s="106"/>
      <c r="C99" s="106"/>
      <c r="D99" s="106"/>
      <c r="E99" s="106"/>
      <c r="F99" s="106"/>
      <c r="G99" s="106"/>
      <c r="H99" s="10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26" s="1" customFormat="1" ht="20" customHeight="1" x14ac:dyDescent="0.2">
      <c r="A100" s="107" t="s">
        <v>370</v>
      </c>
      <c r="B100" s="108"/>
      <c r="C100" s="108"/>
      <c r="D100" s="108"/>
      <c r="E100" s="108"/>
      <c r="F100" s="108"/>
      <c r="G100" s="108"/>
      <c r="H100" s="108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26" ht="2" customHeight="1" x14ac:dyDescent="0.2">
      <c r="A101" s="109"/>
      <c r="B101" s="109"/>
      <c r="C101" s="109"/>
      <c r="D101" s="109"/>
      <c r="E101" s="109"/>
      <c r="F101" s="109"/>
      <c r="G101" s="109"/>
      <c r="H101" s="109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26" s="2" customFormat="1" ht="20" customHeight="1" x14ac:dyDescent="0.2">
      <c r="A102" s="110" t="s">
        <v>62</v>
      </c>
      <c r="B102" s="111"/>
      <c r="C102" s="111"/>
      <c r="D102" s="111"/>
      <c r="E102" s="111"/>
      <c r="F102" s="111"/>
      <c r="G102" s="111"/>
      <c r="H102" s="111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spans="1:26" s="2" customFormat="1" ht="20" customHeight="1" x14ac:dyDescent="0.2">
      <c r="A103" s="102" t="s">
        <v>63</v>
      </c>
      <c r="B103" s="102"/>
      <c r="C103" s="102"/>
      <c r="D103" s="102"/>
      <c r="E103" s="102"/>
      <c r="F103" s="102"/>
      <c r="G103" s="102"/>
      <c r="H103" s="102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26" s="2" customFormat="1" ht="9" customHeight="1" x14ac:dyDescent="0.2">
      <c r="A104" s="8"/>
      <c r="B104" s="9"/>
      <c r="C104" s="9"/>
      <c r="D104" s="9"/>
      <c r="E104" s="9"/>
      <c r="F104" s="9"/>
      <c r="G104" s="9"/>
      <c r="H104" s="9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26" s="3" customFormat="1" ht="24" customHeight="1" x14ac:dyDescent="0.2">
      <c r="A105" s="11" t="s">
        <v>64</v>
      </c>
      <c r="B105" s="12" t="s">
        <v>65</v>
      </c>
      <c r="C105" s="11" t="s">
        <v>66</v>
      </c>
      <c r="D105" s="12" t="s">
        <v>67</v>
      </c>
      <c r="E105" s="11" t="s">
        <v>68</v>
      </c>
      <c r="F105" s="11" t="s">
        <v>69</v>
      </c>
      <c r="G105" s="12" t="s">
        <v>70</v>
      </c>
      <c r="H105" s="11" t="s">
        <v>57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</row>
    <row r="106" spans="1:26" s="41" customFormat="1" ht="24" customHeight="1" x14ac:dyDescent="0.2">
      <c r="A106" s="133" t="s">
        <v>296</v>
      </c>
      <c r="B106" s="134"/>
      <c r="C106" s="134"/>
      <c r="D106" s="134"/>
      <c r="E106" s="134"/>
      <c r="F106" s="135"/>
      <c r="G106" s="135"/>
      <c r="H106" s="136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2"/>
      <c r="U106" s="52"/>
      <c r="V106" s="52"/>
      <c r="W106" s="52"/>
      <c r="X106" s="52"/>
      <c r="Y106" s="52"/>
      <c r="Z106" s="52"/>
    </row>
    <row r="107" spans="1:26" s="41" customFormat="1" ht="32" customHeight="1" x14ac:dyDescent="0.2">
      <c r="A107" s="37">
        <v>1</v>
      </c>
      <c r="B107" s="43" t="s">
        <v>258</v>
      </c>
      <c r="C107" s="37" t="s">
        <v>72</v>
      </c>
      <c r="D107" s="82" t="s">
        <v>81</v>
      </c>
      <c r="E107" s="53" t="s">
        <v>73</v>
      </c>
      <c r="F107" s="50" t="s">
        <v>227</v>
      </c>
      <c r="G107" s="50" t="s">
        <v>227</v>
      </c>
      <c r="H107" s="54" t="s">
        <v>227</v>
      </c>
      <c r="I107" s="141"/>
      <c r="J107" s="141"/>
      <c r="K107" s="141"/>
      <c r="L107" s="56"/>
      <c r="M107" s="56"/>
      <c r="N107" s="56"/>
      <c r="O107" s="56"/>
      <c r="P107" s="56"/>
      <c r="Q107" s="56"/>
      <c r="R107" s="56"/>
      <c r="S107" s="56"/>
      <c r="T107" s="57"/>
      <c r="U107" s="57"/>
      <c r="V107" s="57"/>
      <c r="W107" s="57"/>
      <c r="X107" s="57"/>
      <c r="Y107" s="57"/>
      <c r="Z107" s="57"/>
    </row>
    <row r="108" spans="1:26" s="41" customFormat="1" ht="19" customHeight="1" x14ac:dyDescent="0.2">
      <c r="A108" s="37">
        <v>2</v>
      </c>
      <c r="B108" s="43" t="s">
        <v>216</v>
      </c>
      <c r="C108" s="37" t="s">
        <v>72</v>
      </c>
      <c r="D108" s="82" t="s">
        <v>81</v>
      </c>
      <c r="E108" s="53" t="s">
        <v>73</v>
      </c>
      <c r="F108" s="50">
        <v>7005</v>
      </c>
      <c r="G108" s="50">
        <v>6455</v>
      </c>
      <c r="H108" s="54">
        <f t="shared" ref="H108:H111" si="7">(G108/F108)</f>
        <v>0.92148465381870093</v>
      </c>
      <c r="I108" s="55"/>
      <c r="J108" s="55"/>
      <c r="K108" s="55"/>
      <c r="L108" s="56"/>
      <c r="M108" s="56"/>
      <c r="N108" s="56"/>
      <c r="O108" s="56"/>
      <c r="P108" s="56"/>
      <c r="Q108" s="56"/>
      <c r="R108" s="56"/>
      <c r="S108" s="56"/>
      <c r="T108" s="57"/>
      <c r="U108" s="57"/>
      <c r="V108" s="57"/>
      <c r="W108" s="57"/>
      <c r="X108" s="57"/>
      <c r="Y108" s="57"/>
      <c r="Z108" s="57"/>
    </row>
    <row r="109" spans="1:26" s="41" customFormat="1" ht="24" customHeight="1" x14ac:dyDescent="0.2">
      <c r="A109" s="133" t="s">
        <v>297</v>
      </c>
      <c r="B109" s="134"/>
      <c r="C109" s="134"/>
      <c r="D109" s="134"/>
      <c r="E109" s="134"/>
      <c r="F109" s="135"/>
      <c r="G109" s="135"/>
      <c r="H109" s="136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2"/>
      <c r="U109" s="52"/>
      <c r="V109" s="52"/>
      <c r="W109" s="52"/>
      <c r="X109" s="52"/>
      <c r="Y109" s="52"/>
      <c r="Z109" s="52"/>
    </row>
    <row r="110" spans="1:26" s="41" customFormat="1" ht="46.5" customHeight="1" x14ac:dyDescent="0.2">
      <c r="A110" s="37">
        <v>1</v>
      </c>
      <c r="B110" s="43" t="s">
        <v>298</v>
      </c>
      <c r="C110" s="37" t="s">
        <v>72</v>
      </c>
      <c r="D110" s="82" t="s">
        <v>91</v>
      </c>
      <c r="E110" s="37" t="s">
        <v>89</v>
      </c>
      <c r="F110" s="50">
        <v>5850</v>
      </c>
      <c r="G110" s="50">
        <v>0</v>
      </c>
      <c r="H110" s="54">
        <f t="shared" si="7"/>
        <v>0</v>
      </c>
      <c r="I110" s="55"/>
      <c r="J110" s="55"/>
      <c r="K110" s="55"/>
      <c r="L110" s="56"/>
      <c r="M110" s="56"/>
      <c r="N110" s="56"/>
      <c r="O110" s="56"/>
      <c r="P110" s="56"/>
      <c r="Q110" s="56"/>
      <c r="R110" s="56"/>
      <c r="S110" s="56"/>
      <c r="T110" s="57"/>
      <c r="U110" s="57"/>
      <c r="V110" s="57"/>
      <c r="W110" s="57"/>
      <c r="X110" s="57"/>
      <c r="Y110" s="57"/>
      <c r="Z110" s="57"/>
    </row>
    <row r="111" spans="1:26" s="41" customFormat="1" ht="56" customHeight="1" x14ac:dyDescent="0.2">
      <c r="A111" s="37">
        <v>2</v>
      </c>
      <c r="B111" s="43" t="s">
        <v>299</v>
      </c>
      <c r="C111" s="37" t="s">
        <v>81</v>
      </c>
      <c r="D111" s="82" t="s">
        <v>91</v>
      </c>
      <c r="E111" s="37" t="s">
        <v>89</v>
      </c>
      <c r="F111" s="50">
        <v>5850</v>
      </c>
      <c r="G111" s="50">
        <v>0</v>
      </c>
      <c r="H111" s="54">
        <f t="shared" si="7"/>
        <v>0</v>
      </c>
      <c r="I111" s="55"/>
      <c r="J111" s="55"/>
      <c r="K111" s="55"/>
      <c r="L111" s="56"/>
      <c r="M111" s="56"/>
      <c r="N111" s="56"/>
      <c r="O111" s="56"/>
      <c r="P111" s="56"/>
      <c r="Q111" s="56"/>
      <c r="R111" s="56"/>
      <c r="S111" s="56"/>
      <c r="T111" s="57"/>
      <c r="U111" s="57"/>
      <c r="V111" s="57"/>
      <c r="W111" s="57"/>
      <c r="X111" s="57"/>
      <c r="Y111" s="57"/>
      <c r="Z111" s="57"/>
    </row>
    <row r="112" spans="1:26" s="41" customFormat="1" ht="51" customHeight="1" x14ac:dyDescent="0.2">
      <c r="A112" s="37">
        <v>3</v>
      </c>
      <c r="B112" s="43" t="s">
        <v>300</v>
      </c>
      <c r="C112" s="37" t="s">
        <v>84</v>
      </c>
      <c r="D112" s="82" t="s">
        <v>91</v>
      </c>
      <c r="E112" s="37" t="s">
        <v>89</v>
      </c>
      <c r="F112" s="50">
        <v>5850</v>
      </c>
      <c r="G112" s="50">
        <v>0</v>
      </c>
      <c r="H112" s="54">
        <f t="shared" ref="H112:H115" si="8">G112/F112</f>
        <v>0</v>
      </c>
      <c r="I112" s="55"/>
      <c r="J112" s="55"/>
      <c r="K112" s="55"/>
      <c r="L112" s="56"/>
      <c r="M112" s="56"/>
      <c r="N112" s="56"/>
      <c r="O112" s="56"/>
      <c r="P112" s="56"/>
      <c r="Q112" s="56"/>
      <c r="R112" s="56"/>
      <c r="S112" s="56"/>
      <c r="T112" s="57"/>
      <c r="U112" s="57"/>
      <c r="V112" s="57"/>
      <c r="W112" s="57"/>
      <c r="X112" s="57"/>
      <c r="Y112" s="57"/>
      <c r="Z112" s="57"/>
    </row>
    <row r="113" spans="1:26" s="41" customFormat="1" ht="56" customHeight="1" x14ac:dyDescent="0.2">
      <c r="A113" s="37">
        <v>4</v>
      </c>
      <c r="B113" s="43" t="s">
        <v>301</v>
      </c>
      <c r="C113" s="37" t="s">
        <v>84</v>
      </c>
      <c r="D113" s="82" t="s">
        <v>91</v>
      </c>
      <c r="E113" s="37" t="s">
        <v>89</v>
      </c>
      <c r="F113" s="50">
        <v>5850</v>
      </c>
      <c r="G113" s="50">
        <v>0</v>
      </c>
      <c r="H113" s="54">
        <f t="shared" si="8"/>
        <v>0</v>
      </c>
      <c r="I113" s="55"/>
      <c r="J113" s="55"/>
      <c r="K113" s="55"/>
      <c r="L113" s="56"/>
      <c r="M113" s="56"/>
      <c r="N113" s="56"/>
      <c r="O113" s="56"/>
      <c r="P113" s="56"/>
      <c r="Q113" s="56"/>
      <c r="R113" s="56"/>
      <c r="S113" s="56"/>
      <c r="T113" s="57"/>
      <c r="U113" s="57"/>
      <c r="V113" s="57"/>
      <c r="W113" s="57"/>
      <c r="X113" s="57"/>
      <c r="Y113" s="57"/>
      <c r="Z113" s="57"/>
    </row>
    <row r="114" spans="1:26" s="41" customFormat="1" ht="56" customHeight="1" x14ac:dyDescent="0.2">
      <c r="A114" s="37">
        <v>5</v>
      </c>
      <c r="B114" s="43" t="s">
        <v>302</v>
      </c>
      <c r="C114" s="37" t="s">
        <v>87</v>
      </c>
      <c r="D114" s="82" t="s">
        <v>91</v>
      </c>
      <c r="E114" s="37" t="s">
        <v>89</v>
      </c>
      <c r="F114" s="50">
        <v>5850</v>
      </c>
      <c r="G114" s="50">
        <v>0</v>
      </c>
      <c r="H114" s="54">
        <f t="shared" si="8"/>
        <v>0</v>
      </c>
      <c r="I114" s="55"/>
      <c r="J114" s="55"/>
      <c r="K114" s="55"/>
      <c r="L114" s="56"/>
      <c r="M114" s="56"/>
      <c r="N114" s="56"/>
      <c r="O114" s="56"/>
      <c r="P114" s="56"/>
      <c r="Q114" s="56"/>
      <c r="R114" s="56"/>
      <c r="S114" s="56"/>
      <c r="T114" s="57"/>
      <c r="U114" s="57"/>
      <c r="V114" s="57"/>
      <c r="W114" s="57"/>
      <c r="X114" s="57"/>
      <c r="Y114" s="57"/>
      <c r="Z114" s="57"/>
    </row>
    <row r="115" spans="1:26" s="41" customFormat="1" ht="38" customHeight="1" x14ac:dyDescent="0.2">
      <c r="A115" s="37">
        <v>6</v>
      </c>
      <c r="B115" s="43" t="s">
        <v>303</v>
      </c>
      <c r="C115" s="37" t="s">
        <v>91</v>
      </c>
      <c r="D115" s="37" t="s">
        <v>91</v>
      </c>
      <c r="E115" s="37" t="s">
        <v>89</v>
      </c>
      <c r="F115" s="50">
        <v>5850</v>
      </c>
      <c r="G115" s="50">
        <v>0</v>
      </c>
      <c r="H115" s="54">
        <f t="shared" si="8"/>
        <v>0</v>
      </c>
      <c r="I115" s="55"/>
      <c r="J115" s="55"/>
      <c r="K115" s="55"/>
      <c r="L115" s="56"/>
      <c r="M115" s="56"/>
      <c r="N115" s="56"/>
      <c r="O115" s="56"/>
      <c r="P115" s="56"/>
      <c r="Q115" s="56"/>
      <c r="R115" s="56"/>
      <c r="S115" s="56"/>
      <c r="T115" s="57"/>
      <c r="U115" s="57"/>
      <c r="V115" s="57"/>
      <c r="W115" s="57"/>
      <c r="X115" s="57"/>
      <c r="Y115" s="57"/>
      <c r="Z115" s="57"/>
    </row>
    <row r="116" spans="1:26" s="41" customFormat="1" ht="24" customHeight="1" x14ac:dyDescent="0.2">
      <c r="A116" s="133" t="s">
        <v>304</v>
      </c>
      <c r="B116" s="134"/>
      <c r="C116" s="134"/>
      <c r="D116" s="134"/>
      <c r="E116" s="134"/>
      <c r="F116" s="135"/>
      <c r="G116" s="135"/>
      <c r="H116" s="136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2"/>
      <c r="U116" s="52"/>
      <c r="V116" s="52"/>
      <c r="W116" s="52"/>
      <c r="X116" s="52"/>
      <c r="Y116" s="52"/>
      <c r="Z116" s="52"/>
    </row>
    <row r="117" spans="1:26" s="41" customFormat="1" ht="46.5" customHeight="1" x14ac:dyDescent="0.2">
      <c r="A117" s="37">
        <v>1</v>
      </c>
      <c r="B117" s="43" t="s">
        <v>305</v>
      </c>
      <c r="C117" s="37" t="s">
        <v>81</v>
      </c>
      <c r="D117" s="82" t="s">
        <v>91</v>
      </c>
      <c r="E117" s="37" t="s">
        <v>89</v>
      </c>
      <c r="F117" s="50">
        <v>6605</v>
      </c>
      <c r="G117" s="38">
        <v>0</v>
      </c>
      <c r="H117" s="39">
        <v>0</v>
      </c>
      <c r="I117" s="55"/>
      <c r="J117" s="55"/>
      <c r="K117" s="55"/>
      <c r="L117" s="56"/>
      <c r="M117" s="56"/>
      <c r="N117" s="56"/>
      <c r="O117" s="56"/>
      <c r="P117" s="56"/>
      <c r="Q117" s="56"/>
      <c r="R117" s="56"/>
      <c r="S117" s="56"/>
      <c r="T117" s="57"/>
      <c r="U117" s="57"/>
      <c r="V117" s="57"/>
      <c r="W117" s="57"/>
      <c r="X117" s="57"/>
      <c r="Y117" s="57"/>
      <c r="Z117" s="57"/>
    </row>
    <row r="118" spans="1:26" s="41" customFormat="1" ht="56" customHeight="1" x14ac:dyDescent="0.2">
      <c r="A118" s="37">
        <v>2</v>
      </c>
      <c r="B118" s="43" t="s">
        <v>306</v>
      </c>
      <c r="C118" s="37" t="s">
        <v>84</v>
      </c>
      <c r="D118" s="82" t="s">
        <v>91</v>
      </c>
      <c r="E118" s="37" t="s">
        <v>89</v>
      </c>
      <c r="F118" s="50" t="s">
        <v>227</v>
      </c>
      <c r="G118" s="50" t="s">
        <v>227</v>
      </c>
      <c r="H118" s="54" t="s">
        <v>227</v>
      </c>
      <c r="I118" s="55"/>
      <c r="J118" s="55"/>
      <c r="K118" s="55"/>
      <c r="L118" s="56"/>
      <c r="M118" s="56"/>
      <c r="N118" s="56"/>
      <c r="O118" s="56"/>
      <c r="P118" s="56"/>
      <c r="Q118" s="56"/>
      <c r="R118" s="56"/>
      <c r="S118" s="56"/>
      <c r="T118" s="57"/>
      <c r="U118" s="57"/>
      <c r="V118" s="57"/>
      <c r="W118" s="57"/>
      <c r="X118" s="57"/>
      <c r="Y118" s="57"/>
      <c r="Z118" s="57"/>
    </row>
    <row r="119" spans="1:26" s="41" customFormat="1" ht="35" customHeight="1" x14ac:dyDescent="0.2">
      <c r="A119" s="37">
        <v>3</v>
      </c>
      <c r="B119" s="43" t="s">
        <v>307</v>
      </c>
      <c r="C119" s="37" t="s">
        <v>84</v>
      </c>
      <c r="D119" s="82" t="s">
        <v>91</v>
      </c>
      <c r="E119" s="37" t="s">
        <v>89</v>
      </c>
      <c r="F119" s="50" t="s">
        <v>154</v>
      </c>
      <c r="G119" s="50" t="s">
        <v>154</v>
      </c>
      <c r="H119" s="54" t="s">
        <v>154</v>
      </c>
      <c r="I119" s="55"/>
      <c r="J119" s="55"/>
      <c r="K119" s="55"/>
      <c r="L119" s="56"/>
      <c r="M119" s="56"/>
      <c r="N119" s="56"/>
      <c r="O119" s="56"/>
      <c r="P119" s="56"/>
      <c r="Q119" s="56"/>
      <c r="R119" s="56"/>
      <c r="S119" s="56"/>
      <c r="T119" s="57"/>
      <c r="U119" s="57"/>
      <c r="V119" s="57"/>
      <c r="W119" s="57"/>
      <c r="X119" s="57"/>
      <c r="Y119" s="57"/>
      <c r="Z119" s="57"/>
    </row>
    <row r="120" spans="1:26" s="41" customFormat="1" ht="50" customHeight="1" x14ac:dyDescent="0.2">
      <c r="A120" s="37">
        <v>4</v>
      </c>
      <c r="B120" s="43" t="s">
        <v>308</v>
      </c>
      <c r="C120" s="37" t="s">
        <v>87</v>
      </c>
      <c r="D120" s="82" t="s">
        <v>91</v>
      </c>
      <c r="E120" s="37" t="s">
        <v>89</v>
      </c>
      <c r="F120" s="50" t="s">
        <v>154</v>
      </c>
      <c r="G120" s="50" t="s">
        <v>154</v>
      </c>
      <c r="H120" s="54" t="s">
        <v>154</v>
      </c>
      <c r="I120" s="55"/>
      <c r="J120" s="55"/>
      <c r="K120" s="55"/>
      <c r="L120" s="56"/>
      <c r="M120" s="56"/>
      <c r="N120" s="56"/>
      <c r="O120" s="56"/>
      <c r="P120" s="56"/>
      <c r="Q120" s="56"/>
      <c r="R120" s="56"/>
      <c r="S120" s="56"/>
      <c r="T120" s="57"/>
      <c r="U120" s="57"/>
      <c r="V120" s="57"/>
      <c r="W120" s="57"/>
      <c r="X120" s="57"/>
      <c r="Y120" s="57"/>
      <c r="Z120" s="57"/>
    </row>
    <row r="121" spans="1:26" s="41" customFormat="1" ht="55" customHeight="1" x14ac:dyDescent="0.2">
      <c r="A121" s="37">
        <v>5</v>
      </c>
      <c r="B121" s="43" t="s">
        <v>309</v>
      </c>
      <c r="C121" s="37" t="s">
        <v>87</v>
      </c>
      <c r="D121" s="82" t="s">
        <v>91</v>
      </c>
      <c r="E121" s="37" t="s">
        <v>89</v>
      </c>
      <c r="F121" s="50" t="s">
        <v>154</v>
      </c>
      <c r="G121" s="50" t="s">
        <v>154</v>
      </c>
      <c r="H121" s="54" t="s">
        <v>154</v>
      </c>
      <c r="I121" s="55"/>
      <c r="J121" s="55"/>
      <c r="K121" s="55"/>
      <c r="L121" s="56"/>
      <c r="M121" s="56"/>
      <c r="N121" s="56"/>
      <c r="O121" s="56"/>
      <c r="P121" s="56"/>
      <c r="Q121" s="56"/>
      <c r="R121" s="56"/>
      <c r="S121" s="56"/>
      <c r="T121" s="57"/>
      <c r="U121" s="57"/>
      <c r="V121" s="57"/>
      <c r="W121" s="57"/>
      <c r="X121" s="57"/>
      <c r="Y121" s="57"/>
      <c r="Z121" s="57"/>
    </row>
    <row r="122" spans="1:26" s="41" customFormat="1" ht="40" customHeight="1" x14ac:dyDescent="0.2">
      <c r="A122" s="37">
        <v>6</v>
      </c>
      <c r="B122" s="43" t="s">
        <v>310</v>
      </c>
      <c r="C122" s="37" t="s">
        <v>91</v>
      </c>
      <c r="D122" s="37" t="s">
        <v>91</v>
      </c>
      <c r="E122" s="37" t="s">
        <v>89</v>
      </c>
      <c r="F122" s="50">
        <v>5850</v>
      </c>
      <c r="G122" s="38">
        <v>0</v>
      </c>
      <c r="H122" s="39">
        <v>0</v>
      </c>
      <c r="I122" s="55"/>
      <c r="J122" s="55"/>
      <c r="K122" s="55"/>
      <c r="L122" s="56"/>
      <c r="M122" s="56"/>
      <c r="N122" s="56"/>
      <c r="O122" s="56"/>
      <c r="P122" s="56"/>
      <c r="Q122" s="56"/>
      <c r="R122" s="56"/>
      <c r="S122" s="56"/>
      <c r="T122" s="57"/>
      <c r="U122" s="57"/>
      <c r="V122" s="57"/>
      <c r="W122" s="57"/>
      <c r="X122" s="57"/>
      <c r="Y122" s="57"/>
      <c r="Z122" s="57"/>
    </row>
    <row r="123" spans="1:26" s="42" customFormat="1" ht="15" customHeight="1" x14ac:dyDescent="0.2">
      <c r="A123" s="59"/>
      <c r="B123" s="59"/>
      <c r="C123" s="59"/>
      <c r="D123" s="59"/>
      <c r="E123" s="59"/>
      <c r="F123" s="60"/>
      <c r="G123" s="60"/>
      <c r="H123" s="59"/>
    </row>
    <row r="124" spans="1:26" s="42" customFormat="1" ht="15" customHeight="1" x14ac:dyDescent="0.2">
      <c r="A124" s="59"/>
      <c r="B124" s="59"/>
      <c r="C124" s="59"/>
      <c r="D124" s="59"/>
      <c r="E124" s="59"/>
      <c r="F124" s="60"/>
      <c r="G124" s="60"/>
      <c r="H124" s="59"/>
    </row>
    <row r="125" spans="1:26" s="42" customFormat="1" ht="15" customHeight="1" x14ac:dyDescent="0.2">
      <c r="A125" s="59"/>
      <c r="B125" s="59"/>
      <c r="C125" s="59"/>
      <c r="D125" s="59"/>
      <c r="E125" s="59"/>
      <c r="F125" s="60"/>
      <c r="G125" s="60"/>
      <c r="H125" s="59"/>
    </row>
    <row r="126" spans="1:26" s="1" customFormat="1" ht="20" customHeight="1" x14ac:dyDescent="0.2">
      <c r="A126" s="103" t="s">
        <v>0</v>
      </c>
      <c r="B126" s="104"/>
      <c r="C126" s="104"/>
      <c r="D126" s="104"/>
      <c r="E126" s="104"/>
      <c r="F126" s="104"/>
      <c r="G126" s="104"/>
      <c r="H126" s="104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</row>
    <row r="127" spans="1:26" s="1" customFormat="1" ht="20" customHeight="1" x14ac:dyDescent="0.2">
      <c r="A127" s="105" t="s">
        <v>60</v>
      </c>
      <c r="B127" s="106"/>
      <c r="C127" s="106"/>
      <c r="D127" s="106"/>
      <c r="E127" s="106"/>
      <c r="F127" s="106"/>
      <c r="G127" s="106"/>
      <c r="H127" s="10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</row>
    <row r="128" spans="1:26" s="1" customFormat="1" ht="20" customHeight="1" x14ac:dyDescent="0.2">
      <c r="A128" s="107" t="s">
        <v>372</v>
      </c>
      <c r="B128" s="108"/>
      <c r="C128" s="108"/>
      <c r="D128" s="108"/>
      <c r="E128" s="108"/>
      <c r="F128" s="108"/>
      <c r="G128" s="108"/>
      <c r="H128" s="108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</row>
    <row r="129" spans="1:26" ht="17" x14ac:dyDescent="0.2">
      <c r="A129" s="109"/>
      <c r="B129" s="109"/>
      <c r="C129" s="109"/>
      <c r="D129" s="109"/>
      <c r="E129" s="109"/>
      <c r="F129" s="109"/>
      <c r="G129" s="109"/>
      <c r="H129" s="109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26" s="2" customFormat="1" ht="20" customHeight="1" x14ac:dyDescent="0.2">
      <c r="A130" s="110" t="s">
        <v>62</v>
      </c>
      <c r="B130" s="111"/>
      <c r="C130" s="111"/>
      <c r="D130" s="111"/>
      <c r="E130" s="111"/>
      <c r="F130" s="111"/>
      <c r="G130" s="111"/>
      <c r="H130" s="111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spans="1:26" s="2" customFormat="1" ht="20" customHeight="1" x14ac:dyDescent="0.2">
      <c r="A131" s="102" t="s">
        <v>63</v>
      </c>
      <c r="B131" s="102"/>
      <c r="C131" s="102"/>
      <c r="D131" s="102"/>
      <c r="E131" s="102"/>
      <c r="F131" s="102"/>
      <c r="G131" s="102"/>
      <c r="H131" s="102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spans="1:26" s="2" customFormat="1" ht="20" customHeight="1" x14ac:dyDescent="0.2">
      <c r="A132" s="8"/>
      <c r="B132" s="9"/>
      <c r="C132" s="9"/>
      <c r="D132" s="9"/>
      <c r="E132" s="9"/>
      <c r="F132" s="9"/>
      <c r="G132" s="9"/>
      <c r="H132" s="9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spans="1:26" s="3" customFormat="1" ht="24" customHeight="1" x14ac:dyDescent="0.2">
      <c r="A133" s="11" t="s">
        <v>64</v>
      </c>
      <c r="B133" s="12" t="s">
        <v>65</v>
      </c>
      <c r="C133" s="11" t="s">
        <v>66</v>
      </c>
      <c r="D133" s="12" t="s">
        <v>67</v>
      </c>
      <c r="E133" s="11" t="s">
        <v>68</v>
      </c>
      <c r="F133" s="11" t="s">
        <v>69</v>
      </c>
      <c r="G133" s="12" t="s">
        <v>70</v>
      </c>
      <c r="H133" s="11" t="s">
        <v>57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</row>
    <row r="134" spans="1:26" s="41" customFormat="1" ht="24" customHeight="1" x14ac:dyDescent="0.2">
      <c r="A134" s="133" t="s">
        <v>311</v>
      </c>
      <c r="B134" s="134"/>
      <c r="C134" s="134"/>
      <c r="D134" s="134"/>
      <c r="E134" s="134"/>
      <c r="F134" s="135"/>
      <c r="G134" s="135"/>
      <c r="H134" s="136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2"/>
      <c r="U134" s="52"/>
      <c r="V134" s="52"/>
      <c r="W134" s="52"/>
      <c r="X134" s="52"/>
      <c r="Y134" s="52"/>
      <c r="Z134" s="52"/>
    </row>
    <row r="135" spans="1:26" s="41" customFormat="1" ht="51" customHeight="1" x14ac:dyDescent="0.2">
      <c r="A135" s="37">
        <v>1</v>
      </c>
      <c r="B135" s="43" t="s">
        <v>312</v>
      </c>
      <c r="C135" s="37" t="s">
        <v>72</v>
      </c>
      <c r="D135" s="82" t="s">
        <v>81</v>
      </c>
      <c r="E135" s="53" t="s">
        <v>73</v>
      </c>
      <c r="F135" s="50" t="s">
        <v>227</v>
      </c>
      <c r="G135" s="50" t="s">
        <v>227</v>
      </c>
      <c r="H135" s="54" t="s">
        <v>227</v>
      </c>
      <c r="I135" s="141"/>
      <c r="J135" s="141"/>
      <c r="K135" s="141"/>
      <c r="L135" s="56"/>
      <c r="M135" s="56"/>
      <c r="N135" s="56"/>
      <c r="O135" s="56"/>
      <c r="P135" s="56"/>
      <c r="Q135" s="56"/>
      <c r="R135" s="56"/>
      <c r="S135" s="56"/>
      <c r="T135" s="57"/>
      <c r="U135" s="57"/>
      <c r="V135" s="57"/>
      <c r="W135" s="57"/>
      <c r="X135" s="57"/>
      <c r="Y135" s="57"/>
      <c r="Z135" s="57"/>
    </row>
    <row r="136" spans="1:26" s="41" customFormat="1" ht="35" customHeight="1" x14ac:dyDescent="0.2">
      <c r="A136" s="37">
        <v>2</v>
      </c>
      <c r="B136" s="43" t="s">
        <v>259</v>
      </c>
      <c r="C136" s="37" t="s">
        <v>72</v>
      </c>
      <c r="D136" s="82" t="s">
        <v>81</v>
      </c>
      <c r="E136" s="53" t="s">
        <v>73</v>
      </c>
      <c r="F136" s="50" t="s">
        <v>154</v>
      </c>
      <c r="G136" s="50" t="s">
        <v>154</v>
      </c>
      <c r="H136" s="54" t="s">
        <v>154</v>
      </c>
      <c r="I136" s="55"/>
      <c r="J136" s="55"/>
      <c r="K136" s="55"/>
      <c r="L136" s="56"/>
      <c r="M136" s="56"/>
      <c r="N136" s="56"/>
      <c r="O136" s="56"/>
      <c r="P136" s="56"/>
      <c r="Q136" s="56"/>
      <c r="R136" s="56"/>
      <c r="S136" s="56"/>
      <c r="T136" s="57"/>
      <c r="U136" s="57"/>
      <c r="V136" s="57"/>
      <c r="W136" s="57"/>
      <c r="X136" s="57"/>
      <c r="Y136" s="57"/>
      <c r="Z136" s="57"/>
    </row>
    <row r="137" spans="1:26" s="41" customFormat="1" ht="51" customHeight="1" x14ac:dyDescent="0.2">
      <c r="A137" s="37">
        <v>3</v>
      </c>
      <c r="B137" s="43" t="s">
        <v>313</v>
      </c>
      <c r="C137" s="37" t="s">
        <v>72</v>
      </c>
      <c r="D137" s="82" t="s">
        <v>81</v>
      </c>
      <c r="E137" s="53" t="s">
        <v>73</v>
      </c>
      <c r="F137" s="50">
        <v>7500</v>
      </c>
      <c r="G137" s="50">
        <v>7050</v>
      </c>
      <c r="H137" s="54">
        <f>(G137/F137)</f>
        <v>0.94</v>
      </c>
      <c r="I137" s="55"/>
      <c r="J137" s="55"/>
      <c r="K137" s="55"/>
      <c r="L137" s="56"/>
      <c r="M137" s="56"/>
      <c r="N137" s="56"/>
      <c r="O137" s="56"/>
      <c r="P137" s="56"/>
      <c r="Q137" s="56"/>
      <c r="R137" s="56"/>
      <c r="S137" s="56"/>
      <c r="T137" s="57"/>
      <c r="U137" s="57"/>
      <c r="V137" s="57"/>
      <c r="W137" s="57"/>
      <c r="X137" s="57"/>
      <c r="Y137" s="57"/>
      <c r="Z137" s="57"/>
    </row>
    <row r="138" spans="1:26" s="41" customFormat="1" ht="24" customHeight="1" x14ac:dyDescent="0.2">
      <c r="A138" s="133" t="s">
        <v>314</v>
      </c>
      <c r="B138" s="134"/>
      <c r="C138" s="134"/>
      <c r="D138" s="134"/>
      <c r="E138" s="134"/>
      <c r="F138" s="135"/>
      <c r="G138" s="135"/>
      <c r="H138" s="136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2"/>
      <c r="U138" s="52"/>
      <c r="V138" s="52"/>
      <c r="W138" s="52"/>
      <c r="X138" s="52"/>
      <c r="Y138" s="52"/>
      <c r="Z138" s="52"/>
    </row>
    <row r="139" spans="1:26" s="41" customFormat="1" ht="51" customHeight="1" x14ac:dyDescent="0.2">
      <c r="A139" s="37">
        <v>1</v>
      </c>
      <c r="B139" s="43" t="s">
        <v>315</v>
      </c>
      <c r="C139" s="37" t="s">
        <v>141</v>
      </c>
      <c r="D139" s="37" t="s">
        <v>141</v>
      </c>
      <c r="E139" s="53" t="s">
        <v>73</v>
      </c>
      <c r="F139" s="50" t="s">
        <v>154</v>
      </c>
      <c r="G139" s="50" t="s">
        <v>154</v>
      </c>
      <c r="H139" s="54" t="s">
        <v>154</v>
      </c>
      <c r="I139" s="55"/>
      <c r="J139" s="55"/>
      <c r="K139" s="55"/>
      <c r="L139" s="56"/>
      <c r="M139" s="56"/>
      <c r="N139" s="56"/>
      <c r="O139" s="56"/>
      <c r="P139" s="56"/>
      <c r="Q139" s="56"/>
      <c r="R139" s="56"/>
      <c r="S139" s="56"/>
      <c r="T139" s="57"/>
      <c r="U139" s="57"/>
      <c r="V139" s="57"/>
      <c r="W139" s="57"/>
      <c r="X139" s="57"/>
      <c r="Y139" s="57"/>
      <c r="Z139" s="57"/>
    </row>
    <row r="140" spans="1:26" s="41" customFormat="1" ht="51" customHeight="1" x14ac:dyDescent="0.2">
      <c r="A140" s="37">
        <v>2</v>
      </c>
      <c r="B140" s="43" t="s">
        <v>316</v>
      </c>
      <c r="C140" s="37" t="s">
        <v>72</v>
      </c>
      <c r="D140" s="37" t="s">
        <v>72</v>
      </c>
      <c r="E140" s="53" t="s">
        <v>73</v>
      </c>
      <c r="F140" s="50" t="s">
        <v>154</v>
      </c>
      <c r="G140" s="50" t="s">
        <v>154</v>
      </c>
      <c r="H140" s="54" t="s">
        <v>154</v>
      </c>
      <c r="I140" s="55"/>
      <c r="J140" s="55"/>
      <c r="K140" s="55"/>
      <c r="L140" s="56"/>
      <c r="M140" s="56"/>
      <c r="N140" s="56"/>
      <c r="O140" s="56"/>
      <c r="P140" s="56"/>
      <c r="Q140" s="56"/>
      <c r="R140" s="56"/>
      <c r="S140" s="56"/>
      <c r="T140" s="57"/>
      <c r="U140" s="57"/>
      <c r="V140" s="57"/>
      <c r="W140" s="57"/>
      <c r="X140" s="57"/>
      <c r="Y140" s="57"/>
      <c r="Z140" s="57"/>
    </row>
    <row r="141" spans="1:26" s="41" customFormat="1" ht="24" customHeight="1" x14ac:dyDescent="0.2">
      <c r="A141" s="133" t="s">
        <v>317</v>
      </c>
      <c r="B141" s="134"/>
      <c r="C141" s="134"/>
      <c r="D141" s="134"/>
      <c r="E141" s="134"/>
      <c r="F141" s="135"/>
      <c r="G141" s="135"/>
      <c r="H141" s="136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2"/>
      <c r="U141" s="52"/>
      <c r="V141" s="52"/>
      <c r="W141" s="52"/>
      <c r="X141" s="52"/>
      <c r="Y141" s="52"/>
      <c r="Z141" s="52"/>
    </row>
    <row r="142" spans="1:26" s="41" customFormat="1" ht="51" customHeight="1" x14ac:dyDescent="0.2">
      <c r="A142" s="37">
        <v>1</v>
      </c>
      <c r="B142" s="43" t="s">
        <v>318</v>
      </c>
      <c r="C142" s="37" t="s">
        <v>72</v>
      </c>
      <c r="D142" s="82" t="s">
        <v>87</v>
      </c>
      <c r="E142" s="53" t="s">
        <v>73</v>
      </c>
      <c r="F142" s="50">
        <v>7050</v>
      </c>
      <c r="G142" s="50">
        <v>4025</v>
      </c>
      <c r="H142" s="54">
        <f>(G142/F142)</f>
        <v>0.57092198581560283</v>
      </c>
      <c r="I142" s="55"/>
      <c r="J142" s="55"/>
      <c r="K142" s="55"/>
      <c r="L142" s="56"/>
      <c r="M142" s="56"/>
      <c r="N142" s="56"/>
      <c r="O142" s="56"/>
      <c r="P142" s="56"/>
      <c r="Q142" s="56"/>
      <c r="R142" s="56"/>
      <c r="S142" s="56"/>
      <c r="T142" s="57"/>
      <c r="U142" s="57"/>
      <c r="V142" s="57"/>
      <c r="W142" s="57"/>
      <c r="X142" s="57"/>
      <c r="Y142" s="57"/>
      <c r="Z142" s="57"/>
    </row>
    <row r="143" spans="1:26" s="41" customFormat="1" ht="51" customHeight="1" x14ac:dyDescent="0.2">
      <c r="A143" s="37">
        <v>2</v>
      </c>
      <c r="B143" s="43" t="s">
        <v>319</v>
      </c>
      <c r="C143" s="37" t="s">
        <v>81</v>
      </c>
      <c r="D143" s="82" t="s">
        <v>91</v>
      </c>
      <c r="E143" s="37" t="s">
        <v>89</v>
      </c>
      <c r="F143" s="50">
        <v>4550</v>
      </c>
      <c r="G143" s="38">
        <v>0</v>
      </c>
      <c r="H143" s="39">
        <v>0</v>
      </c>
      <c r="I143" s="55"/>
      <c r="J143" s="55"/>
      <c r="K143" s="55"/>
      <c r="L143" s="56"/>
      <c r="M143" s="56"/>
      <c r="N143" s="56"/>
      <c r="O143" s="56"/>
      <c r="P143" s="56"/>
      <c r="Q143" s="56"/>
      <c r="R143" s="56"/>
      <c r="S143" s="56"/>
      <c r="T143" s="57"/>
      <c r="U143" s="57"/>
      <c r="V143" s="57"/>
      <c r="W143" s="57"/>
      <c r="X143" s="57"/>
      <c r="Y143" s="57"/>
      <c r="Z143" s="57"/>
    </row>
    <row r="144" spans="1:26" s="41" customFormat="1" ht="51" customHeight="1" x14ac:dyDescent="0.2">
      <c r="A144" s="37">
        <v>3</v>
      </c>
      <c r="B144" s="43" t="s">
        <v>320</v>
      </c>
      <c r="C144" s="37" t="s">
        <v>81</v>
      </c>
      <c r="D144" s="82" t="s">
        <v>91</v>
      </c>
      <c r="E144" s="37" t="s">
        <v>89</v>
      </c>
      <c r="F144" s="50">
        <v>4550</v>
      </c>
      <c r="G144" s="38">
        <v>0</v>
      </c>
      <c r="H144" s="39">
        <v>0</v>
      </c>
      <c r="I144" s="55"/>
      <c r="J144" s="55"/>
      <c r="K144" s="55"/>
      <c r="L144" s="56"/>
      <c r="M144" s="56"/>
      <c r="N144" s="56"/>
      <c r="O144" s="56"/>
      <c r="P144" s="56"/>
      <c r="Q144" s="56"/>
      <c r="R144" s="56"/>
      <c r="S144" s="56"/>
      <c r="T144" s="57"/>
      <c r="U144" s="57"/>
      <c r="V144" s="57"/>
      <c r="W144" s="57"/>
      <c r="X144" s="57"/>
      <c r="Y144" s="57"/>
      <c r="Z144" s="57"/>
    </row>
    <row r="145" spans="1:26" s="41" customFormat="1" ht="51" customHeight="1" x14ac:dyDescent="0.2">
      <c r="A145" s="37">
        <v>4</v>
      </c>
      <c r="B145" s="43" t="s">
        <v>321</v>
      </c>
      <c r="C145" s="37" t="s">
        <v>81</v>
      </c>
      <c r="D145" s="82" t="s">
        <v>91</v>
      </c>
      <c r="E145" s="37" t="s">
        <v>89</v>
      </c>
      <c r="F145" s="50">
        <v>4550</v>
      </c>
      <c r="G145" s="38">
        <v>0</v>
      </c>
      <c r="H145" s="39">
        <v>0</v>
      </c>
      <c r="I145" s="55"/>
      <c r="J145" s="55"/>
      <c r="K145" s="55"/>
      <c r="L145" s="56"/>
      <c r="M145" s="56"/>
      <c r="N145" s="56"/>
      <c r="O145" s="56"/>
      <c r="P145" s="56"/>
      <c r="Q145" s="56"/>
      <c r="R145" s="56"/>
      <c r="S145" s="56"/>
      <c r="T145" s="57"/>
      <c r="U145" s="57"/>
      <c r="V145" s="57"/>
      <c r="W145" s="57"/>
      <c r="X145" s="57"/>
      <c r="Y145" s="57"/>
      <c r="Z145" s="57"/>
    </row>
    <row r="146" spans="1:26" s="41" customFormat="1" ht="24" customHeight="1" x14ac:dyDescent="0.2">
      <c r="A146" s="133" t="s">
        <v>322</v>
      </c>
      <c r="B146" s="134"/>
      <c r="C146" s="134"/>
      <c r="D146" s="134"/>
      <c r="E146" s="134"/>
      <c r="F146" s="135"/>
      <c r="G146" s="135"/>
      <c r="H146" s="136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2"/>
      <c r="U146" s="52"/>
      <c r="V146" s="52"/>
      <c r="W146" s="52"/>
      <c r="X146" s="52"/>
      <c r="Y146" s="52"/>
      <c r="Z146" s="52"/>
    </row>
    <row r="147" spans="1:26" s="41" customFormat="1" ht="51" customHeight="1" x14ac:dyDescent="0.2">
      <c r="A147" s="37">
        <v>1</v>
      </c>
      <c r="B147" s="43" t="s">
        <v>323</v>
      </c>
      <c r="C147" s="37" t="s">
        <v>324</v>
      </c>
      <c r="D147" s="82" t="s">
        <v>91</v>
      </c>
      <c r="E147" s="37" t="s">
        <v>89</v>
      </c>
      <c r="F147" s="50">
        <v>3000</v>
      </c>
      <c r="G147" s="38">
        <v>0</v>
      </c>
      <c r="H147" s="39">
        <v>0</v>
      </c>
      <c r="I147" s="55"/>
      <c r="J147" s="55"/>
      <c r="K147" s="55"/>
      <c r="L147" s="56"/>
      <c r="M147" s="56"/>
      <c r="N147" s="56"/>
      <c r="O147" s="56"/>
      <c r="P147" s="56"/>
      <c r="Q147" s="56"/>
      <c r="R147" s="56"/>
      <c r="S147" s="56"/>
      <c r="T147" s="57"/>
      <c r="U147" s="57"/>
      <c r="V147" s="57"/>
      <c r="W147" s="57"/>
      <c r="X147" s="57"/>
      <c r="Y147" s="57"/>
      <c r="Z147" s="57"/>
    </row>
    <row r="148" spans="1:26" s="41" customFormat="1" ht="51" customHeight="1" x14ac:dyDescent="0.2">
      <c r="A148" s="37">
        <v>2</v>
      </c>
      <c r="B148" s="43" t="s">
        <v>325</v>
      </c>
      <c r="C148" s="37" t="s">
        <v>324</v>
      </c>
      <c r="D148" s="82" t="s">
        <v>91</v>
      </c>
      <c r="E148" s="37" t="s">
        <v>89</v>
      </c>
      <c r="F148" s="50">
        <v>3000</v>
      </c>
      <c r="G148" s="38">
        <v>0</v>
      </c>
      <c r="H148" s="39">
        <v>0</v>
      </c>
      <c r="I148" s="55"/>
      <c r="J148" s="55"/>
      <c r="K148" s="55"/>
      <c r="L148" s="56"/>
      <c r="M148" s="56"/>
      <c r="N148" s="56"/>
      <c r="O148" s="56"/>
      <c r="P148" s="56"/>
      <c r="Q148" s="56"/>
      <c r="R148" s="56"/>
      <c r="S148" s="56"/>
      <c r="T148" s="57"/>
      <c r="U148" s="57"/>
      <c r="V148" s="57"/>
      <c r="W148" s="57"/>
      <c r="X148" s="57"/>
      <c r="Y148" s="57"/>
      <c r="Z148" s="57"/>
    </row>
    <row r="152" spans="1:26" s="1" customFormat="1" ht="20" customHeight="1" x14ac:dyDescent="0.2">
      <c r="A152" s="103" t="s">
        <v>0</v>
      </c>
      <c r="B152" s="104"/>
      <c r="C152" s="104"/>
      <c r="D152" s="104"/>
      <c r="E152" s="104"/>
      <c r="F152" s="104"/>
      <c r="G152" s="104"/>
      <c r="H152" s="104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</row>
    <row r="153" spans="1:26" s="1" customFormat="1" ht="20" customHeight="1" x14ac:dyDescent="0.2">
      <c r="A153" s="105" t="s">
        <v>192</v>
      </c>
      <c r="B153" s="106"/>
      <c r="C153" s="106"/>
      <c r="D153" s="106"/>
      <c r="E153" s="106"/>
      <c r="F153" s="106"/>
      <c r="G153" s="106"/>
      <c r="H153" s="10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</row>
    <row r="154" spans="1:26" s="1" customFormat="1" ht="43" customHeight="1" x14ac:dyDescent="0.2">
      <c r="A154" s="109" t="s">
        <v>366</v>
      </c>
      <c r="B154" s="108"/>
      <c r="C154" s="108"/>
      <c r="D154" s="108"/>
      <c r="E154" s="108"/>
      <c r="F154" s="108"/>
      <c r="G154" s="108"/>
      <c r="H154" s="108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</row>
    <row r="155" spans="1:26" ht="17" x14ac:dyDescent="0.2">
      <c r="A155" s="109"/>
      <c r="B155" s="109"/>
      <c r="C155" s="109"/>
      <c r="D155" s="109"/>
      <c r="E155" s="109"/>
      <c r="F155" s="109"/>
      <c r="G155" s="109"/>
      <c r="H155" s="109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26" s="2" customFormat="1" ht="20" customHeight="1" x14ac:dyDescent="0.2">
      <c r="A156" s="110" t="s">
        <v>93</v>
      </c>
      <c r="B156" s="111"/>
      <c r="C156" s="111"/>
      <c r="D156" s="111"/>
      <c r="E156" s="111"/>
      <c r="F156" s="111"/>
      <c r="G156" s="111"/>
      <c r="H156" s="111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spans="1:26" s="2" customFormat="1" ht="20" customHeight="1" x14ac:dyDescent="0.2">
      <c r="A157" s="102" t="s">
        <v>94</v>
      </c>
      <c r="B157" s="102"/>
      <c r="C157" s="102"/>
      <c r="D157" s="102"/>
      <c r="E157" s="102"/>
      <c r="F157" s="102"/>
      <c r="G157" s="102"/>
      <c r="H157" s="102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spans="1:26" s="2" customFormat="1" ht="20" customHeight="1" x14ac:dyDescent="0.2">
      <c r="A158" s="8"/>
      <c r="B158" s="9"/>
      <c r="C158" s="9"/>
      <c r="D158" s="9"/>
      <c r="E158" s="9"/>
      <c r="F158" s="9"/>
      <c r="G158" s="9"/>
      <c r="H158" s="9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spans="1:26" s="41" customFormat="1" ht="24" customHeight="1" x14ac:dyDescent="0.2">
      <c r="A159" s="61" t="s">
        <v>64</v>
      </c>
      <c r="B159" s="62" t="s">
        <v>65</v>
      </c>
      <c r="C159" s="61" t="s">
        <v>95</v>
      </c>
      <c r="D159" s="62" t="s">
        <v>96</v>
      </c>
      <c r="E159" s="61" t="s">
        <v>97</v>
      </c>
      <c r="F159" s="63" t="s">
        <v>98</v>
      </c>
      <c r="G159" s="64" t="s">
        <v>99</v>
      </c>
      <c r="H159" s="61" t="s">
        <v>100</v>
      </c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2"/>
      <c r="U159" s="52"/>
      <c r="V159" s="52"/>
      <c r="W159" s="52"/>
      <c r="X159" s="52"/>
      <c r="Y159" s="52"/>
      <c r="Z159" s="52"/>
    </row>
    <row r="160" spans="1:26" s="41" customFormat="1" ht="24" customHeight="1" x14ac:dyDescent="0.2">
      <c r="A160" s="133" t="s">
        <v>257</v>
      </c>
      <c r="B160" s="134"/>
      <c r="C160" s="134"/>
      <c r="D160" s="134"/>
      <c r="E160" s="134"/>
      <c r="F160" s="135"/>
      <c r="G160" s="135"/>
      <c r="H160" s="136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2"/>
      <c r="U160" s="52"/>
      <c r="V160" s="52"/>
      <c r="W160" s="52"/>
      <c r="X160" s="52"/>
      <c r="Y160" s="52"/>
      <c r="Z160" s="52"/>
    </row>
    <row r="161" spans="1:26" s="41" customFormat="1" ht="46.5" customHeight="1" x14ac:dyDescent="0.2">
      <c r="A161" s="37">
        <v>1</v>
      </c>
      <c r="B161" s="43" t="s">
        <v>258</v>
      </c>
      <c r="C161" s="37" t="s">
        <v>101</v>
      </c>
      <c r="D161" s="37" t="s">
        <v>101</v>
      </c>
      <c r="E161" s="37" t="s">
        <v>101</v>
      </c>
      <c r="F161" s="53" t="s">
        <v>102</v>
      </c>
      <c r="G161" s="53" t="s">
        <v>102</v>
      </c>
      <c r="H161" s="37" t="s">
        <v>101</v>
      </c>
      <c r="I161" s="55"/>
      <c r="J161" s="55"/>
      <c r="K161" s="55"/>
      <c r="L161" s="56"/>
      <c r="M161" s="56"/>
      <c r="N161" s="56"/>
      <c r="O161" s="56"/>
      <c r="P161" s="56"/>
      <c r="Q161" s="56"/>
      <c r="R161" s="56"/>
      <c r="S161" s="56"/>
      <c r="T161" s="57"/>
      <c r="U161" s="57"/>
      <c r="V161" s="57"/>
      <c r="W161" s="57"/>
      <c r="X161" s="57"/>
      <c r="Y161" s="57"/>
      <c r="Z161" s="57"/>
    </row>
    <row r="162" spans="1:26" s="41" customFormat="1" ht="46.5" customHeight="1" x14ac:dyDescent="0.2">
      <c r="A162" s="37">
        <v>2</v>
      </c>
      <c r="B162" s="43" t="s">
        <v>259</v>
      </c>
      <c r="C162" s="37" t="s">
        <v>101</v>
      </c>
      <c r="D162" s="37" t="s">
        <v>101</v>
      </c>
      <c r="E162" s="37" t="s">
        <v>101</v>
      </c>
      <c r="F162" s="53" t="s">
        <v>102</v>
      </c>
      <c r="G162" s="53" t="s">
        <v>102</v>
      </c>
      <c r="H162" s="37" t="s">
        <v>101</v>
      </c>
      <c r="I162" s="55"/>
      <c r="J162" s="55"/>
      <c r="K162" s="55"/>
      <c r="L162" s="56"/>
      <c r="M162" s="56"/>
      <c r="N162" s="56"/>
      <c r="O162" s="56"/>
      <c r="P162" s="56"/>
      <c r="Q162" s="56"/>
      <c r="R162" s="56"/>
      <c r="S162" s="56"/>
      <c r="T162" s="57"/>
      <c r="U162" s="57"/>
      <c r="V162" s="57"/>
      <c r="W162" s="57"/>
      <c r="X162" s="57"/>
      <c r="Y162" s="57"/>
      <c r="Z162" s="57"/>
    </row>
    <row r="163" spans="1:26" s="41" customFormat="1" ht="46.5" customHeight="1" x14ac:dyDescent="0.2">
      <c r="A163" s="37">
        <v>3</v>
      </c>
      <c r="B163" s="43" t="s">
        <v>77</v>
      </c>
      <c r="C163" s="53" t="s">
        <v>102</v>
      </c>
      <c r="D163" s="37" t="s">
        <v>101</v>
      </c>
      <c r="E163" s="37" t="s">
        <v>101</v>
      </c>
      <c r="F163" s="53" t="s">
        <v>102</v>
      </c>
      <c r="G163" s="53" t="s">
        <v>102</v>
      </c>
      <c r="H163" s="53" t="s">
        <v>102</v>
      </c>
      <c r="I163" s="55"/>
      <c r="J163" s="55"/>
      <c r="K163" s="55"/>
      <c r="L163" s="56"/>
      <c r="M163" s="56"/>
      <c r="N163" s="56"/>
      <c r="O163" s="56"/>
      <c r="P163" s="56"/>
      <c r="Q163" s="56"/>
      <c r="R163" s="56"/>
      <c r="S163" s="56"/>
      <c r="T163" s="57"/>
      <c r="U163" s="57"/>
      <c r="V163" s="57"/>
      <c r="W163" s="57"/>
      <c r="X163" s="57"/>
      <c r="Y163" s="57"/>
      <c r="Z163" s="57"/>
    </row>
    <row r="164" spans="1:26" s="41" customFormat="1" ht="24" customHeight="1" x14ac:dyDescent="0.2">
      <c r="A164" s="133" t="s">
        <v>260</v>
      </c>
      <c r="B164" s="134"/>
      <c r="C164" s="134"/>
      <c r="D164" s="134"/>
      <c r="E164" s="134"/>
      <c r="F164" s="135"/>
      <c r="G164" s="135"/>
      <c r="H164" s="136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2"/>
      <c r="U164" s="52"/>
      <c r="V164" s="52"/>
      <c r="W164" s="52"/>
      <c r="X164" s="52"/>
      <c r="Y164" s="52"/>
      <c r="Z164" s="52"/>
    </row>
    <row r="165" spans="1:26" s="41" customFormat="1" ht="46.5" customHeight="1" x14ac:dyDescent="0.2">
      <c r="A165" s="37">
        <v>1</v>
      </c>
      <c r="B165" s="83" t="s">
        <v>261</v>
      </c>
      <c r="C165" s="37" t="s">
        <v>101</v>
      </c>
      <c r="D165" s="37" t="s">
        <v>101</v>
      </c>
      <c r="E165" s="37" t="s">
        <v>101</v>
      </c>
      <c r="F165" s="53" t="s">
        <v>102</v>
      </c>
      <c r="G165" s="53" t="s">
        <v>102</v>
      </c>
      <c r="H165" s="37" t="s">
        <v>101</v>
      </c>
      <c r="I165" s="55"/>
      <c r="J165" s="55"/>
      <c r="K165" s="55"/>
      <c r="L165" s="56"/>
      <c r="M165" s="56"/>
      <c r="N165" s="56"/>
      <c r="O165" s="56"/>
      <c r="P165" s="56"/>
      <c r="Q165" s="56"/>
      <c r="R165" s="56"/>
      <c r="S165" s="56"/>
      <c r="T165" s="57"/>
      <c r="U165" s="57"/>
      <c r="V165" s="57"/>
      <c r="W165" s="57"/>
      <c r="X165" s="57"/>
      <c r="Y165" s="57"/>
      <c r="Z165" s="57"/>
    </row>
    <row r="166" spans="1:26" s="41" customFormat="1" ht="46.5" customHeight="1" x14ac:dyDescent="0.2">
      <c r="A166" s="37">
        <v>2</v>
      </c>
      <c r="B166" s="83" t="s">
        <v>262</v>
      </c>
      <c r="C166" s="37" t="s">
        <v>101</v>
      </c>
      <c r="D166" s="37" t="s">
        <v>101</v>
      </c>
      <c r="E166" s="37" t="s">
        <v>101</v>
      </c>
      <c r="F166" s="53" t="s">
        <v>102</v>
      </c>
      <c r="G166" s="53" t="s">
        <v>102</v>
      </c>
      <c r="H166" s="37" t="s">
        <v>101</v>
      </c>
      <c r="I166" s="55"/>
      <c r="J166" s="55"/>
      <c r="K166" s="55"/>
      <c r="L166" s="56"/>
      <c r="M166" s="56"/>
      <c r="N166" s="56"/>
      <c r="O166" s="56"/>
      <c r="P166" s="56"/>
      <c r="Q166" s="56"/>
      <c r="R166" s="56"/>
      <c r="S166" s="56"/>
      <c r="T166" s="57"/>
      <c r="U166" s="57"/>
      <c r="V166" s="57"/>
      <c r="W166" s="57"/>
      <c r="X166" s="57"/>
      <c r="Y166" s="57"/>
      <c r="Z166" s="57"/>
    </row>
    <row r="167" spans="1:26" s="41" customFormat="1" ht="24" customHeight="1" x14ac:dyDescent="0.2">
      <c r="A167" s="133" t="s">
        <v>263</v>
      </c>
      <c r="B167" s="134"/>
      <c r="C167" s="134"/>
      <c r="D167" s="134"/>
      <c r="E167" s="134"/>
      <c r="F167" s="135"/>
      <c r="G167" s="135"/>
      <c r="H167" s="136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2"/>
      <c r="U167" s="52"/>
      <c r="V167" s="52"/>
      <c r="W167" s="52"/>
      <c r="X167" s="52"/>
      <c r="Y167" s="52"/>
      <c r="Z167" s="52"/>
    </row>
    <row r="168" spans="1:26" s="41" customFormat="1" ht="46.5" customHeight="1" x14ac:dyDescent="0.2">
      <c r="A168" s="37">
        <v>1</v>
      </c>
      <c r="B168" s="43" t="s">
        <v>264</v>
      </c>
      <c r="C168" s="53" t="s">
        <v>102</v>
      </c>
      <c r="D168" s="53" t="s">
        <v>102</v>
      </c>
      <c r="E168" s="37" t="s">
        <v>101</v>
      </c>
      <c r="F168" s="53" t="s">
        <v>102</v>
      </c>
      <c r="G168" s="53" t="s">
        <v>102</v>
      </c>
      <c r="H168" s="37" t="s">
        <v>101</v>
      </c>
      <c r="I168" s="55"/>
      <c r="J168" s="55"/>
      <c r="K168" s="55"/>
      <c r="L168" s="56"/>
      <c r="M168" s="56"/>
      <c r="N168" s="56"/>
      <c r="O168" s="56"/>
      <c r="P168" s="56"/>
      <c r="Q168" s="56"/>
      <c r="R168" s="56"/>
      <c r="S168" s="56"/>
      <c r="T168" s="57"/>
      <c r="U168" s="57"/>
      <c r="V168" s="57"/>
      <c r="W168" s="57"/>
      <c r="X168" s="57"/>
      <c r="Y168" s="57"/>
      <c r="Z168" s="57"/>
    </row>
    <row r="169" spans="1:26" s="41" customFormat="1" ht="46.5" customHeight="1" x14ac:dyDescent="0.2">
      <c r="A169" s="37">
        <v>2</v>
      </c>
      <c r="B169" s="43" t="s">
        <v>265</v>
      </c>
      <c r="C169" s="53" t="s">
        <v>102</v>
      </c>
      <c r="D169" s="53" t="s">
        <v>102</v>
      </c>
      <c r="E169" s="37" t="s">
        <v>101</v>
      </c>
      <c r="F169" s="53" t="s">
        <v>102</v>
      </c>
      <c r="G169" s="53" t="s">
        <v>102</v>
      </c>
      <c r="H169" s="37" t="s">
        <v>101</v>
      </c>
      <c r="I169" s="55"/>
      <c r="J169" s="55"/>
      <c r="K169" s="55"/>
      <c r="L169" s="56"/>
      <c r="M169" s="56"/>
      <c r="N169" s="56"/>
      <c r="O169" s="56"/>
      <c r="P169" s="56"/>
      <c r="Q169" s="56"/>
      <c r="R169" s="56"/>
      <c r="S169" s="56"/>
      <c r="T169" s="57"/>
      <c r="U169" s="57"/>
      <c r="V169" s="57"/>
      <c r="W169" s="57"/>
      <c r="X169" s="57"/>
      <c r="Y169" s="57"/>
      <c r="Z169" s="57"/>
    </row>
    <row r="170" spans="1:26" s="41" customFormat="1" ht="46.5" customHeight="1" x14ac:dyDescent="0.2">
      <c r="A170" s="37">
        <v>3</v>
      </c>
      <c r="B170" s="43" t="s">
        <v>266</v>
      </c>
      <c r="C170" s="53" t="s">
        <v>102</v>
      </c>
      <c r="D170" s="53" t="s">
        <v>102</v>
      </c>
      <c r="E170" s="37" t="s">
        <v>101</v>
      </c>
      <c r="F170" s="53" t="s">
        <v>102</v>
      </c>
      <c r="G170" s="53" t="s">
        <v>102</v>
      </c>
      <c r="H170" s="37" t="s">
        <v>101</v>
      </c>
      <c r="I170" s="55"/>
      <c r="J170" s="55"/>
      <c r="K170" s="55"/>
      <c r="L170" s="56"/>
      <c r="M170" s="56"/>
      <c r="N170" s="56"/>
      <c r="O170" s="56"/>
      <c r="P170" s="56"/>
      <c r="Q170" s="56"/>
      <c r="R170" s="56"/>
      <c r="S170" s="56"/>
      <c r="T170" s="57"/>
      <c r="U170" s="57"/>
      <c r="V170" s="57"/>
      <c r="W170" s="57"/>
      <c r="X170" s="57"/>
      <c r="Y170" s="57"/>
      <c r="Z170" s="57"/>
    </row>
    <row r="171" spans="1:26" s="41" customFormat="1" ht="46.5" customHeight="1" x14ac:dyDescent="0.2">
      <c r="A171" s="37">
        <v>4</v>
      </c>
      <c r="B171" s="43" t="s">
        <v>267</v>
      </c>
      <c r="C171" s="53" t="s">
        <v>102</v>
      </c>
      <c r="D171" s="53" t="s">
        <v>102</v>
      </c>
      <c r="E171" s="37" t="s">
        <v>101</v>
      </c>
      <c r="F171" s="53" t="s">
        <v>102</v>
      </c>
      <c r="G171" s="53" t="s">
        <v>102</v>
      </c>
      <c r="H171" s="37" t="s">
        <v>101</v>
      </c>
      <c r="I171" s="55"/>
      <c r="J171" s="55"/>
      <c r="K171" s="55"/>
      <c r="L171" s="56"/>
      <c r="M171" s="56"/>
      <c r="N171" s="56"/>
      <c r="O171" s="56"/>
      <c r="P171" s="56"/>
      <c r="Q171" s="56"/>
      <c r="R171" s="56"/>
      <c r="S171" s="56"/>
      <c r="T171" s="57"/>
      <c r="U171" s="57"/>
      <c r="V171" s="57"/>
      <c r="W171" s="57"/>
      <c r="X171" s="57"/>
      <c r="Y171" s="57"/>
      <c r="Z171" s="57"/>
    </row>
    <row r="172" spans="1:26" s="41" customFormat="1" ht="24" customHeight="1" x14ac:dyDescent="0.2">
      <c r="A172" s="133" t="s">
        <v>268</v>
      </c>
      <c r="B172" s="134"/>
      <c r="C172" s="134"/>
      <c r="D172" s="134"/>
      <c r="E172" s="134"/>
      <c r="F172" s="135"/>
      <c r="G172" s="135"/>
      <c r="H172" s="136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2"/>
      <c r="U172" s="52"/>
      <c r="V172" s="52"/>
      <c r="W172" s="52"/>
      <c r="X172" s="52"/>
      <c r="Y172" s="52"/>
      <c r="Z172" s="52"/>
    </row>
    <row r="173" spans="1:26" s="41" customFormat="1" ht="46.5" customHeight="1" x14ac:dyDescent="0.2">
      <c r="A173" s="37">
        <v>1</v>
      </c>
      <c r="B173" s="43" t="s">
        <v>371</v>
      </c>
      <c r="C173" s="37" t="s">
        <v>101</v>
      </c>
      <c r="D173" s="37" t="s">
        <v>101</v>
      </c>
      <c r="E173" s="37" t="s">
        <v>101</v>
      </c>
      <c r="F173" s="53" t="s">
        <v>102</v>
      </c>
      <c r="G173" s="53" t="s">
        <v>102</v>
      </c>
      <c r="H173" s="37" t="s">
        <v>101</v>
      </c>
      <c r="I173" s="55"/>
      <c r="J173" s="55"/>
      <c r="K173" s="55"/>
      <c r="L173" s="56"/>
      <c r="M173" s="56"/>
      <c r="N173" s="56"/>
      <c r="O173" s="56"/>
      <c r="P173" s="56"/>
      <c r="Q173" s="56"/>
      <c r="R173" s="56"/>
      <c r="S173" s="56"/>
      <c r="T173" s="57"/>
      <c r="U173" s="57"/>
      <c r="V173" s="57"/>
      <c r="W173" s="57"/>
      <c r="X173" s="57"/>
      <c r="Y173" s="57"/>
      <c r="Z173" s="57"/>
    </row>
    <row r="174" spans="1:26" s="41" customFormat="1" ht="46.5" customHeight="1" x14ac:dyDescent="0.2">
      <c r="A174" s="37">
        <v>2</v>
      </c>
      <c r="B174" s="43" t="s">
        <v>368</v>
      </c>
      <c r="C174" s="53" t="s">
        <v>102</v>
      </c>
      <c r="D174" s="53" t="s">
        <v>102</v>
      </c>
      <c r="E174" s="37" t="s">
        <v>103</v>
      </c>
      <c r="F174" s="53" t="s">
        <v>102</v>
      </c>
      <c r="G174" s="53" t="s">
        <v>102</v>
      </c>
      <c r="H174" s="37" t="s">
        <v>101</v>
      </c>
      <c r="I174" s="55"/>
      <c r="J174" s="55"/>
      <c r="K174" s="55"/>
      <c r="L174" s="56"/>
      <c r="M174" s="56"/>
      <c r="N174" s="56"/>
      <c r="O174" s="56"/>
      <c r="P174" s="56"/>
      <c r="Q174" s="56"/>
      <c r="R174" s="56"/>
      <c r="S174" s="56"/>
      <c r="T174" s="57"/>
      <c r="U174" s="57"/>
      <c r="V174" s="57"/>
      <c r="W174" s="57"/>
      <c r="X174" s="57"/>
      <c r="Y174" s="57"/>
      <c r="Z174" s="57"/>
    </row>
    <row r="175" spans="1:26" s="41" customFormat="1" ht="46.5" customHeight="1" x14ac:dyDescent="0.2">
      <c r="A175" s="37">
        <v>3</v>
      </c>
      <c r="B175" s="43" t="s">
        <v>269</v>
      </c>
      <c r="C175" s="82" t="s">
        <v>194</v>
      </c>
      <c r="D175" s="82" t="s">
        <v>194</v>
      </c>
      <c r="E175" s="37" t="s">
        <v>103</v>
      </c>
      <c r="F175" s="37" t="s">
        <v>103</v>
      </c>
      <c r="G175" s="37" t="s">
        <v>103</v>
      </c>
      <c r="H175" s="37" t="s">
        <v>101</v>
      </c>
      <c r="I175" s="55"/>
      <c r="J175" s="55"/>
      <c r="K175" s="55"/>
      <c r="L175" s="56"/>
      <c r="M175" s="56"/>
      <c r="N175" s="56"/>
      <c r="O175" s="56"/>
      <c r="P175" s="56"/>
      <c r="Q175" s="56"/>
      <c r="R175" s="56"/>
      <c r="S175" s="56"/>
      <c r="T175" s="57"/>
      <c r="U175" s="57"/>
      <c r="V175" s="57"/>
      <c r="W175" s="57"/>
      <c r="X175" s="57"/>
      <c r="Y175" s="57"/>
      <c r="Z175" s="57"/>
    </row>
    <row r="176" spans="1:26" s="41" customFormat="1" ht="46.5" customHeight="1" x14ac:dyDescent="0.2">
      <c r="A176" s="37">
        <v>4</v>
      </c>
      <c r="B176" s="43" t="s">
        <v>270</v>
      </c>
      <c r="C176" s="82" t="s">
        <v>194</v>
      </c>
      <c r="D176" s="82" t="s">
        <v>194</v>
      </c>
      <c r="E176" s="37" t="s">
        <v>103</v>
      </c>
      <c r="F176" s="37" t="s">
        <v>103</v>
      </c>
      <c r="G176" s="37" t="s">
        <v>103</v>
      </c>
      <c r="H176" s="37" t="s">
        <v>101</v>
      </c>
      <c r="I176" s="55"/>
      <c r="J176" s="55"/>
      <c r="K176" s="55"/>
      <c r="L176" s="56"/>
      <c r="M176" s="56"/>
      <c r="N176" s="56"/>
      <c r="O176" s="56"/>
      <c r="P176" s="56"/>
      <c r="Q176" s="56"/>
      <c r="R176" s="56"/>
      <c r="S176" s="56"/>
      <c r="T176" s="57"/>
      <c r="U176" s="57"/>
      <c r="V176" s="57"/>
      <c r="W176" s="57"/>
      <c r="X176" s="57"/>
      <c r="Y176" s="57"/>
      <c r="Z176" s="57"/>
    </row>
    <row r="177" spans="1:26" s="41" customFormat="1" ht="46.5" customHeight="1" x14ac:dyDescent="0.2">
      <c r="A177" s="37">
        <v>5</v>
      </c>
      <c r="B177" s="43" t="s">
        <v>271</v>
      </c>
      <c r="C177" s="82" t="s">
        <v>194</v>
      </c>
      <c r="D177" s="82" t="s">
        <v>194</v>
      </c>
      <c r="E177" s="37" t="s">
        <v>103</v>
      </c>
      <c r="F177" s="37" t="s">
        <v>103</v>
      </c>
      <c r="G177" s="37" t="s">
        <v>103</v>
      </c>
      <c r="H177" s="37" t="s">
        <v>101</v>
      </c>
      <c r="I177" s="55"/>
      <c r="J177" s="55"/>
      <c r="K177" s="55"/>
      <c r="L177" s="56"/>
      <c r="M177" s="56"/>
      <c r="N177" s="56"/>
      <c r="O177" s="56"/>
      <c r="P177" s="56"/>
      <c r="Q177" s="56"/>
      <c r="R177" s="56"/>
      <c r="S177" s="56"/>
      <c r="T177" s="57"/>
      <c r="U177" s="57"/>
      <c r="V177" s="57"/>
      <c r="W177" s="57"/>
      <c r="X177" s="57"/>
      <c r="Y177" s="57"/>
      <c r="Z177" s="57"/>
    </row>
    <row r="178" spans="1:26" s="41" customFormat="1" ht="46.5" customHeight="1" x14ac:dyDescent="0.2">
      <c r="A178" s="37">
        <v>6</v>
      </c>
      <c r="B178" s="43" t="s">
        <v>272</v>
      </c>
      <c r="C178" s="53" t="s">
        <v>102</v>
      </c>
      <c r="D178" s="53" t="s">
        <v>102</v>
      </c>
      <c r="E178" s="37" t="s">
        <v>103</v>
      </c>
      <c r="F178" s="53" t="s">
        <v>102</v>
      </c>
      <c r="G178" s="53" t="s">
        <v>102</v>
      </c>
      <c r="H178" s="37" t="s">
        <v>101</v>
      </c>
      <c r="I178" s="55"/>
      <c r="J178" s="55"/>
      <c r="K178" s="55"/>
      <c r="L178" s="56"/>
      <c r="M178" s="56"/>
      <c r="N178" s="56"/>
      <c r="O178" s="56"/>
      <c r="P178" s="56"/>
      <c r="Q178" s="56"/>
      <c r="R178" s="56"/>
      <c r="S178" s="56"/>
      <c r="T178" s="57"/>
      <c r="U178" s="57"/>
      <c r="V178" s="57"/>
      <c r="W178" s="57"/>
      <c r="X178" s="57"/>
      <c r="Y178" s="57"/>
      <c r="Z178" s="57"/>
    </row>
    <row r="179" spans="1:26" s="41" customFormat="1" ht="45" customHeight="1" x14ac:dyDescent="0.2">
      <c r="A179" s="37">
        <v>7</v>
      </c>
      <c r="B179" s="43" t="s">
        <v>273</v>
      </c>
      <c r="C179" s="82" t="s">
        <v>194</v>
      </c>
      <c r="D179" s="82" t="s">
        <v>194</v>
      </c>
      <c r="E179" s="37" t="s">
        <v>103</v>
      </c>
      <c r="F179" s="37" t="s">
        <v>103</v>
      </c>
      <c r="G179" s="37" t="s">
        <v>103</v>
      </c>
      <c r="H179" s="37" t="s">
        <v>101</v>
      </c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2"/>
      <c r="U179" s="52"/>
      <c r="V179" s="52"/>
      <c r="W179" s="52"/>
      <c r="X179" s="52"/>
      <c r="Y179" s="52"/>
      <c r="Z179" s="52"/>
    </row>
    <row r="180" spans="1:26" s="41" customFormat="1" ht="58" customHeight="1" x14ac:dyDescent="0.2">
      <c r="A180" s="37">
        <v>8</v>
      </c>
      <c r="B180" s="43" t="s">
        <v>274</v>
      </c>
      <c r="C180" s="82" t="s">
        <v>194</v>
      </c>
      <c r="D180" s="82" t="s">
        <v>194</v>
      </c>
      <c r="E180" s="37" t="s">
        <v>103</v>
      </c>
      <c r="F180" s="37" t="s">
        <v>103</v>
      </c>
      <c r="G180" s="37" t="s">
        <v>103</v>
      </c>
      <c r="H180" s="37" t="s">
        <v>101</v>
      </c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2"/>
      <c r="U180" s="52"/>
      <c r="V180" s="52"/>
      <c r="W180" s="52"/>
      <c r="X180" s="52"/>
      <c r="Y180" s="52"/>
      <c r="Z180" s="52"/>
    </row>
    <row r="181" spans="1:26" s="41" customFormat="1" ht="58" customHeight="1" x14ac:dyDescent="0.2">
      <c r="A181" s="37">
        <v>9</v>
      </c>
      <c r="B181" s="43" t="s">
        <v>275</v>
      </c>
      <c r="C181" s="82" t="s">
        <v>194</v>
      </c>
      <c r="D181" s="82" t="s">
        <v>194</v>
      </c>
      <c r="E181" s="37" t="s">
        <v>103</v>
      </c>
      <c r="F181" s="37" t="s">
        <v>103</v>
      </c>
      <c r="G181" s="37" t="s">
        <v>103</v>
      </c>
      <c r="H181" s="37" t="s">
        <v>101</v>
      </c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2"/>
      <c r="U181" s="52"/>
      <c r="V181" s="52"/>
      <c r="W181" s="52"/>
      <c r="X181" s="52"/>
      <c r="Y181" s="52"/>
      <c r="Z181" s="52"/>
    </row>
    <row r="182" spans="1:26" s="41" customFormat="1" ht="24" customHeight="1" x14ac:dyDescent="0.2">
      <c r="A182" s="133" t="s">
        <v>276</v>
      </c>
      <c r="B182" s="134"/>
      <c r="C182" s="134"/>
      <c r="D182" s="134"/>
      <c r="E182" s="134"/>
      <c r="F182" s="135"/>
      <c r="G182" s="135"/>
      <c r="H182" s="136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2"/>
      <c r="U182" s="52"/>
      <c r="V182" s="52"/>
      <c r="W182" s="52"/>
      <c r="X182" s="52"/>
      <c r="Y182" s="52"/>
      <c r="Z182" s="52"/>
    </row>
    <row r="183" spans="1:26" s="41" customFormat="1" ht="46.5" customHeight="1" x14ac:dyDescent="0.2">
      <c r="A183" s="37">
        <v>1</v>
      </c>
      <c r="B183" s="43" t="s">
        <v>277</v>
      </c>
      <c r="C183" s="53" t="s">
        <v>102</v>
      </c>
      <c r="D183" s="53" t="s">
        <v>102</v>
      </c>
      <c r="E183" s="65" t="s">
        <v>155</v>
      </c>
      <c r="F183" s="53" t="s">
        <v>102</v>
      </c>
      <c r="G183" s="53" t="s">
        <v>102</v>
      </c>
      <c r="H183" s="37" t="s">
        <v>101</v>
      </c>
      <c r="I183" s="55"/>
      <c r="J183" s="55"/>
      <c r="K183" s="55"/>
      <c r="L183" s="56"/>
      <c r="M183" s="56"/>
      <c r="N183" s="56"/>
      <c r="O183" s="56"/>
      <c r="P183" s="56"/>
      <c r="Q183" s="56"/>
      <c r="R183" s="56"/>
      <c r="S183" s="56"/>
      <c r="T183" s="57"/>
      <c r="U183" s="57"/>
      <c r="V183" s="57"/>
      <c r="W183" s="57"/>
      <c r="X183" s="57"/>
      <c r="Y183" s="57"/>
      <c r="Z183" s="57"/>
    </row>
    <row r="184" spans="1:26" s="41" customFormat="1" ht="46.5" customHeight="1" x14ac:dyDescent="0.2">
      <c r="A184" s="37">
        <v>2</v>
      </c>
      <c r="B184" s="43" t="s">
        <v>278</v>
      </c>
      <c r="C184" s="53" t="s">
        <v>102</v>
      </c>
      <c r="D184" s="53" t="s">
        <v>102</v>
      </c>
      <c r="E184" s="65" t="s">
        <v>155</v>
      </c>
      <c r="F184" s="53" t="s">
        <v>102</v>
      </c>
      <c r="G184" s="53" t="s">
        <v>102</v>
      </c>
      <c r="H184" s="37" t="s">
        <v>101</v>
      </c>
      <c r="I184" s="55"/>
      <c r="J184" s="55"/>
      <c r="K184" s="55"/>
      <c r="L184" s="56"/>
      <c r="M184" s="56"/>
      <c r="N184" s="56"/>
      <c r="O184" s="56"/>
      <c r="P184" s="56"/>
      <c r="Q184" s="56"/>
      <c r="R184" s="56"/>
      <c r="S184" s="56"/>
      <c r="T184" s="57"/>
      <c r="U184" s="57"/>
      <c r="V184" s="57"/>
      <c r="W184" s="57"/>
      <c r="X184" s="57"/>
      <c r="Y184" s="57"/>
      <c r="Z184" s="57"/>
    </row>
    <row r="185" spans="1:26" s="41" customFormat="1" ht="46.5" customHeight="1" x14ac:dyDescent="0.2">
      <c r="A185" s="37">
        <v>3</v>
      </c>
      <c r="B185" s="43" t="s">
        <v>279</v>
      </c>
      <c r="C185" s="53" t="s">
        <v>102</v>
      </c>
      <c r="D185" s="53" t="s">
        <v>102</v>
      </c>
      <c r="E185" s="65" t="s">
        <v>155</v>
      </c>
      <c r="F185" s="53" t="s">
        <v>102</v>
      </c>
      <c r="G185" s="53" t="s">
        <v>102</v>
      </c>
      <c r="H185" s="37" t="s">
        <v>101</v>
      </c>
      <c r="I185" s="55"/>
      <c r="J185" s="55"/>
      <c r="K185" s="55"/>
      <c r="L185" s="56"/>
      <c r="M185" s="56"/>
      <c r="N185" s="56"/>
      <c r="O185" s="56"/>
      <c r="P185" s="56"/>
      <c r="Q185" s="56"/>
      <c r="R185" s="56"/>
      <c r="S185" s="56"/>
      <c r="T185" s="57"/>
      <c r="U185" s="57"/>
      <c r="V185" s="57"/>
      <c r="W185" s="57"/>
      <c r="X185" s="57"/>
      <c r="Y185" s="57"/>
      <c r="Z185" s="57"/>
    </row>
    <row r="207" spans="1:19" s="1" customFormat="1" ht="20" customHeight="1" x14ac:dyDescent="0.2">
      <c r="A207" s="103" t="s">
        <v>0</v>
      </c>
      <c r="B207" s="104"/>
      <c r="C207" s="104"/>
      <c r="D207" s="104"/>
      <c r="E207" s="104"/>
      <c r="F207" s="104"/>
      <c r="G207" s="104"/>
      <c r="H207" s="104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</row>
    <row r="208" spans="1:19" s="1" customFormat="1" ht="20" customHeight="1" x14ac:dyDescent="0.2">
      <c r="A208" s="105" t="s">
        <v>60</v>
      </c>
      <c r="B208" s="106"/>
      <c r="C208" s="106"/>
      <c r="D208" s="106"/>
      <c r="E208" s="106"/>
      <c r="F208" s="106"/>
      <c r="G208" s="106"/>
      <c r="H208" s="10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</row>
    <row r="209" spans="1:26" s="1" customFormat="1" ht="20" customHeight="1" x14ac:dyDescent="0.2">
      <c r="A209" s="107" t="s">
        <v>369</v>
      </c>
      <c r="B209" s="108"/>
      <c r="C209" s="108"/>
      <c r="D209" s="108"/>
      <c r="E209" s="108"/>
      <c r="F209" s="108"/>
      <c r="G209" s="108"/>
      <c r="H209" s="108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</row>
    <row r="210" spans="1:26" ht="17" x14ac:dyDescent="0.2">
      <c r="A210" s="109"/>
      <c r="B210" s="109"/>
      <c r="C210" s="109"/>
      <c r="D210" s="109"/>
      <c r="E210" s="109"/>
      <c r="F210" s="109"/>
      <c r="G210" s="109"/>
      <c r="H210" s="109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26" s="2" customFormat="1" ht="20" customHeight="1" x14ac:dyDescent="0.2">
      <c r="A211" s="110" t="s">
        <v>93</v>
      </c>
      <c r="B211" s="111"/>
      <c r="C211" s="111"/>
      <c r="D211" s="111"/>
      <c r="E211" s="111"/>
      <c r="F211" s="111"/>
      <c r="G211" s="111"/>
      <c r="H211" s="111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spans="1:26" s="2" customFormat="1" ht="20" customHeight="1" x14ac:dyDescent="0.2">
      <c r="A212" s="102" t="s">
        <v>94</v>
      </c>
      <c r="B212" s="102"/>
      <c r="C212" s="102"/>
      <c r="D212" s="102"/>
      <c r="E212" s="102"/>
      <c r="F212" s="102"/>
      <c r="G212" s="102"/>
      <c r="H212" s="102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spans="1:26" s="2" customFormat="1" ht="4" customHeight="1" x14ac:dyDescent="0.2">
      <c r="A213" s="8"/>
      <c r="B213" s="9"/>
      <c r="C213" s="9"/>
      <c r="D213" s="9"/>
      <c r="E213" s="9"/>
      <c r="F213" s="9"/>
      <c r="G213" s="9"/>
      <c r="H213" s="9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spans="1:26" s="41" customFormat="1" ht="24" customHeight="1" x14ac:dyDescent="0.2">
      <c r="A214" s="61" t="s">
        <v>64</v>
      </c>
      <c r="B214" s="62" t="s">
        <v>65</v>
      </c>
      <c r="C214" s="61" t="s">
        <v>95</v>
      </c>
      <c r="D214" s="62" t="s">
        <v>96</v>
      </c>
      <c r="E214" s="61" t="s">
        <v>97</v>
      </c>
      <c r="F214" s="63" t="s">
        <v>98</v>
      </c>
      <c r="G214" s="64" t="s">
        <v>99</v>
      </c>
      <c r="H214" s="61" t="s">
        <v>100</v>
      </c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24" customHeight="1" x14ac:dyDescent="0.2">
      <c r="A215" s="133" t="s">
        <v>280</v>
      </c>
      <c r="B215" s="134"/>
      <c r="C215" s="134"/>
      <c r="D215" s="134"/>
      <c r="E215" s="134"/>
      <c r="F215" s="135"/>
      <c r="G215" s="135"/>
      <c r="H215" s="136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2"/>
      <c r="U215" s="52"/>
      <c r="V215" s="52"/>
      <c r="W215" s="52"/>
      <c r="X215" s="52"/>
      <c r="Y215" s="52"/>
      <c r="Z215" s="52"/>
    </row>
    <row r="216" spans="1:26" s="41" customFormat="1" ht="29" customHeight="1" x14ac:dyDescent="0.2">
      <c r="A216" s="37">
        <v>1</v>
      </c>
      <c r="B216" s="43" t="s">
        <v>201</v>
      </c>
      <c r="C216" s="37" t="s">
        <v>101</v>
      </c>
      <c r="D216" s="37" t="s">
        <v>101</v>
      </c>
      <c r="E216" s="37" t="s">
        <v>101</v>
      </c>
      <c r="F216" s="53" t="s">
        <v>102</v>
      </c>
      <c r="G216" s="53" t="s">
        <v>102</v>
      </c>
      <c r="H216" s="37" t="s">
        <v>101</v>
      </c>
      <c r="I216" s="55"/>
      <c r="J216" s="55"/>
      <c r="K216" s="55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2</v>
      </c>
      <c r="B217" s="43" t="s">
        <v>77</v>
      </c>
      <c r="C217" s="37" t="s">
        <v>101</v>
      </c>
      <c r="D217" s="37" t="s">
        <v>101</v>
      </c>
      <c r="E217" s="37" t="s">
        <v>101</v>
      </c>
      <c r="F217" s="53" t="s">
        <v>102</v>
      </c>
      <c r="G217" s="53" t="s">
        <v>102</v>
      </c>
      <c r="H217" s="53" t="s">
        <v>102</v>
      </c>
      <c r="I217" s="55"/>
      <c r="J217" s="55"/>
      <c r="K217" s="55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3</v>
      </c>
      <c r="B218" s="43" t="s">
        <v>282</v>
      </c>
      <c r="C218" s="37" t="s">
        <v>101</v>
      </c>
      <c r="D218" s="37" t="s">
        <v>101</v>
      </c>
      <c r="E218" s="37" t="s">
        <v>101</v>
      </c>
      <c r="F218" s="53" t="s">
        <v>102</v>
      </c>
      <c r="G218" s="53" t="s">
        <v>102</v>
      </c>
      <c r="H218" s="37" t="s">
        <v>101</v>
      </c>
      <c r="I218" s="55"/>
      <c r="J218" s="55"/>
      <c r="K218" s="55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24" customHeight="1" x14ac:dyDescent="0.2">
      <c r="A219" s="133" t="s">
        <v>283</v>
      </c>
      <c r="B219" s="134"/>
      <c r="C219" s="134"/>
      <c r="D219" s="134"/>
      <c r="E219" s="134"/>
      <c r="F219" s="135"/>
      <c r="G219" s="135"/>
      <c r="H219" s="136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2"/>
      <c r="U219" s="52"/>
      <c r="V219" s="52"/>
      <c r="W219" s="52"/>
      <c r="X219" s="52"/>
      <c r="Y219" s="52"/>
      <c r="Z219" s="52"/>
    </row>
    <row r="220" spans="1:26" s="41" customFormat="1" ht="46.5" customHeight="1" x14ac:dyDescent="0.2">
      <c r="A220" s="37">
        <v>1</v>
      </c>
      <c r="B220" s="83" t="s">
        <v>284</v>
      </c>
      <c r="C220" s="37" t="s">
        <v>101</v>
      </c>
      <c r="D220" s="37" t="s">
        <v>101</v>
      </c>
      <c r="E220" s="37" t="s">
        <v>101</v>
      </c>
      <c r="F220" s="53" t="s">
        <v>102</v>
      </c>
      <c r="G220" s="53" t="s">
        <v>102</v>
      </c>
      <c r="H220" s="37" t="s">
        <v>101</v>
      </c>
      <c r="I220" s="55"/>
      <c r="J220" s="55"/>
      <c r="K220" s="55"/>
      <c r="L220" s="56"/>
      <c r="M220" s="56"/>
      <c r="N220" s="56"/>
      <c r="O220" s="56"/>
      <c r="P220" s="56"/>
      <c r="Q220" s="56"/>
      <c r="R220" s="56"/>
      <c r="S220" s="56"/>
      <c r="T220" s="57"/>
      <c r="U220" s="57"/>
      <c r="V220" s="57"/>
      <c r="W220" s="57"/>
      <c r="X220" s="57"/>
      <c r="Y220" s="57"/>
      <c r="Z220" s="57"/>
    </row>
    <row r="221" spans="1:26" s="41" customFormat="1" ht="46.5" customHeight="1" x14ac:dyDescent="0.2">
      <c r="A221" s="37">
        <v>2</v>
      </c>
      <c r="B221" s="83" t="s">
        <v>262</v>
      </c>
      <c r="C221" s="37" t="s">
        <v>101</v>
      </c>
      <c r="D221" s="37" t="s">
        <v>101</v>
      </c>
      <c r="E221" s="37" t="s">
        <v>101</v>
      </c>
      <c r="F221" s="53" t="s">
        <v>102</v>
      </c>
      <c r="G221" s="53" t="s">
        <v>102</v>
      </c>
      <c r="H221" s="37" t="s">
        <v>101</v>
      </c>
      <c r="I221" s="55"/>
      <c r="J221" s="55"/>
      <c r="K221" s="55"/>
      <c r="L221" s="56"/>
      <c r="M221" s="56"/>
      <c r="N221" s="56"/>
      <c r="O221" s="56"/>
      <c r="P221" s="56"/>
      <c r="Q221" s="56"/>
      <c r="R221" s="56"/>
      <c r="S221" s="56"/>
      <c r="T221" s="57"/>
      <c r="U221" s="57"/>
      <c r="V221" s="57"/>
      <c r="W221" s="57"/>
      <c r="X221" s="57"/>
      <c r="Y221" s="57"/>
      <c r="Z221" s="57"/>
    </row>
    <row r="222" spans="1:26" s="41" customFormat="1" ht="24" customHeight="1" x14ac:dyDescent="0.2">
      <c r="A222" s="133" t="s">
        <v>285</v>
      </c>
      <c r="B222" s="134"/>
      <c r="C222" s="134"/>
      <c r="D222" s="134"/>
      <c r="E222" s="134"/>
      <c r="F222" s="135"/>
      <c r="G222" s="135"/>
      <c r="H222" s="136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2"/>
      <c r="U222" s="52"/>
      <c r="V222" s="52"/>
      <c r="W222" s="52"/>
      <c r="X222" s="52"/>
      <c r="Y222" s="52"/>
      <c r="Z222" s="52"/>
    </row>
    <row r="223" spans="1:26" s="41" customFormat="1" ht="46.5" customHeight="1" x14ac:dyDescent="0.2">
      <c r="A223" s="37">
        <v>1</v>
      </c>
      <c r="B223" s="43" t="s">
        <v>286</v>
      </c>
      <c r="C223" s="53" t="s">
        <v>102</v>
      </c>
      <c r="D223" s="53" t="s">
        <v>102</v>
      </c>
      <c r="E223" s="37" t="s">
        <v>103</v>
      </c>
      <c r="F223" s="53" t="s">
        <v>102</v>
      </c>
      <c r="G223" s="53" t="s">
        <v>102</v>
      </c>
      <c r="H223" s="53" t="s">
        <v>102</v>
      </c>
      <c r="I223" s="55"/>
      <c r="J223" s="55"/>
      <c r="K223" s="55"/>
      <c r="L223" s="56"/>
      <c r="M223" s="56"/>
      <c r="N223" s="56"/>
      <c r="O223" s="56"/>
      <c r="P223" s="56"/>
      <c r="Q223" s="56"/>
      <c r="R223" s="56"/>
      <c r="S223" s="56"/>
      <c r="T223" s="57"/>
      <c r="U223" s="57"/>
      <c r="V223" s="57"/>
      <c r="W223" s="57"/>
      <c r="X223" s="57"/>
      <c r="Y223" s="57"/>
      <c r="Z223" s="57"/>
    </row>
    <row r="224" spans="1:26" s="41" customFormat="1" ht="46.5" customHeight="1" x14ac:dyDescent="0.2">
      <c r="A224" s="37">
        <v>2</v>
      </c>
      <c r="B224" s="43" t="s">
        <v>287</v>
      </c>
      <c r="C224" s="53" t="s">
        <v>102</v>
      </c>
      <c r="D224" s="53" t="s">
        <v>102</v>
      </c>
      <c r="E224" s="37" t="s">
        <v>103</v>
      </c>
      <c r="F224" s="53" t="s">
        <v>102</v>
      </c>
      <c r="G224" s="53" t="s">
        <v>102</v>
      </c>
      <c r="H224" s="53" t="s">
        <v>102</v>
      </c>
      <c r="I224" s="55"/>
      <c r="J224" s="55"/>
      <c r="K224" s="55"/>
      <c r="L224" s="56"/>
      <c r="M224" s="56"/>
      <c r="N224" s="56"/>
      <c r="O224" s="56"/>
      <c r="P224" s="56"/>
      <c r="Q224" s="56"/>
      <c r="R224" s="56"/>
      <c r="S224" s="56"/>
      <c r="T224" s="57"/>
      <c r="U224" s="57"/>
      <c r="V224" s="57"/>
      <c r="W224" s="57"/>
      <c r="X224" s="57"/>
      <c r="Y224" s="57"/>
      <c r="Z224" s="57"/>
    </row>
    <row r="225" spans="1:26" s="41" customFormat="1" ht="46.5" customHeight="1" x14ac:dyDescent="0.2">
      <c r="A225" s="37">
        <v>3</v>
      </c>
      <c r="B225" s="43" t="s">
        <v>288</v>
      </c>
      <c r="C225" s="53" t="s">
        <v>102</v>
      </c>
      <c r="D225" s="53" t="s">
        <v>102</v>
      </c>
      <c r="E225" s="37" t="s">
        <v>103</v>
      </c>
      <c r="F225" s="53" t="s">
        <v>102</v>
      </c>
      <c r="G225" s="53" t="s">
        <v>102</v>
      </c>
      <c r="H225" s="53" t="s">
        <v>102</v>
      </c>
      <c r="I225" s="55"/>
      <c r="J225" s="55"/>
      <c r="K225" s="55"/>
      <c r="L225" s="56"/>
      <c r="M225" s="56"/>
      <c r="N225" s="56"/>
      <c r="O225" s="56"/>
      <c r="P225" s="56"/>
      <c r="Q225" s="56"/>
      <c r="R225" s="56"/>
      <c r="S225" s="56"/>
      <c r="T225" s="57"/>
      <c r="U225" s="57"/>
      <c r="V225" s="57"/>
      <c r="W225" s="57"/>
      <c r="X225" s="57"/>
      <c r="Y225" s="57"/>
      <c r="Z225" s="57"/>
    </row>
    <row r="226" spans="1:26" s="41" customFormat="1" ht="46.5" customHeight="1" x14ac:dyDescent="0.2">
      <c r="A226" s="37">
        <v>4</v>
      </c>
      <c r="B226" s="43" t="s">
        <v>289</v>
      </c>
      <c r="C226" s="82" t="s">
        <v>194</v>
      </c>
      <c r="D226" s="82" t="s">
        <v>194</v>
      </c>
      <c r="E226" s="37" t="s">
        <v>103</v>
      </c>
      <c r="F226" s="37" t="s">
        <v>103</v>
      </c>
      <c r="G226" s="37" t="s">
        <v>103</v>
      </c>
      <c r="H226" s="84" t="s">
        <v>155</v>
      </c>
      <c r="I226" s="55"/>
      <c r="J226" s="55"/>
      <c r="K226" s="55"/>
      <c r="L226" s="56"/>
      <c r="M226" s="56"/>
      <c r="N226" s="56"/>
      <c r="O226" s="56"/>
      <c r="P226" s="56"/>
      <c r="Q226" s="56"/>
      <c r="R226" s="56"/>
      <c r="S226" s="56"/>
      <c r="T226" s="57"/>
      <c r="U226" s="57"/>
      <c r="V226" s="57"/>
      <c r="W226" s="57"/>
      <c r="X226" s="57"/>
      <c r="Y226" s="57"/>
      <c r="Z226" s="57"/>
    </row>
    <row r="227" spans="1:26" s="41" customFormat="1" ht="24" customHeight="1" x14ac:dyDescent="0.2">
      <c r="A227" s="133" t="s">
        <v>290</v>
      </c>
      <c r="B227" s="134"/>
      <c r="C227" s="134"/>
      <c r="D227" s="134"/>
      <c r="E227" s="134"/>
      <c r="F227" s="135"/>
      <c r="G227" s="135"/>
      <c r="H227" s="136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2"/>
      <c r="U227" s="52"/>
      <c r="V227" s="52"/>
      <c r="W227" s="52"/>
      <c r="X227" s="52"/>
      <c r="Y227" s="52"/>
      <c r="Z227" s="52"/>
    </row>
    <row r="228" spans="1:26" s="41" customFormat="1" ht="46.5" customHeight="1" x14ac:dyDescent="0.2">
      <c r="A228" s="37">
        <v>1</v>
      </c>
      <c r="B228" s="43" t="s">
        <v>291</v>
      </c>
      <c r="C228" s="82" t="s">
        <v>194</v>
      </c>
      <c r="D228" s="82" t="s">
        <v>194</v>
      </c>
      <c r="E228" s="37" t="s">
        <v>103</v>
      </c>
      <c r="F228" s="50" t="s">
        <v>103</v>
      </c>
      <c r="G228" s="50" t="s">
        <v>103</v>
      </c>
      <c r="H228" s="84" t="s">
        <v>155</v>
      </c>
      <c r="I228" s="55"/>
      <c r="J228" s="55"/>
      <c r="K228" s="55"/>
      <c r="L228" s="56"/>
      <c r="M228" s="56"/>
      <c r="N228" s="56"/>
      <c r="O228" s="56"/>
      <c r="P228" s="56"/>
      <c r="Q228" s="56"/>
      <c r="R228" s="56"/>
      <c r="S228" s="56"/>
      <c r="T228" s="57"/>
      <c r="U228" s="57"/>
      <c r="V228" s="57"/>
      <c r="W228" s="57"/>
      <c r="X228" s="57"/>
      <c r="Y228" s="57"/>
      <c r="Z228" s="57"/>
    </row>
    <row r="229" spans="1:26" s="41" customFormat="1" ht="46.5" customHeight="1" x14ac:dyDescent="0.2">
      <c r="A229" s="37">
        <v>2</v>
      </c>
      <c r="B229" s="43" t="s">
        <v>292</v>
      </c>
      <c r="C229" s="82" t="s">
        <v>194</v>
      </c>
      <c r="D229" s="82" t="s">
        <v>194</v>
      </c>
      <c r="E229" s="37" t="s">
        <v>103</v>
      </c>
      <c r="F229" s="50" t="s">
        <v>103</v>
      </c>
      <c r="G229" s="50" t="s">
        <v>103</v>
      </c>
      <c r="H229" s="84" t="s">
        <v>155</v>
      </c>
      <c r="I229" s="55"/>
      <c r="J229" s="55"/>
      <c r="K229" s="55"/>
      <c r="L229" s="56"/>
      <c r="M229" s="56"/>
      <c r="N229" s="56"/>
      <c r="O229" s="56"/>
      <c r="P229" s="56"/>
      <c r="Q229" s="56"/>
      <c r="R229" s="56"/>
      <c r="S229" s="56"/>
      <c r="T229" s="57"/>
      <c r="U229" s="57"/>
      <c r="V229" s="57"/>
      <c r="W229" s="57"/>
      <c r="X229" s="57"/>
      <c r="Y229" s="57"/>
      <c r="Z229" s="57"/>
    </row>
    <row r="230" spans="1:26" s="41" customFormat="1" ht="46.5" customHeight="1" x14ac:dyDescent="0.2">
      <c r="A230" s="37">
        <v>3</v>
      </c>
      <c r="B230" s="43" t="s">
        <v>293</v>
      </c>
      <c r="C230" s="37" t="s">
        <v>103</v>
      </c>
      <c r="D230" s="37" t="s">
        <v>103</v>
      </c>
      <c r="E230" s="37" t="s">
        <v>103</v>
      </c>
      <c r="F230" s="50" t="s">
        <v>103</v>
      </c>
      <c r="G230" s="50" t="s">
        <v>103</v>
      </c>
      <c r="H230" s="37" t="s">
        <v>101</v>
      </c>
      <c r="I230" s="55"/>
      <c r="J230" s="55"/>
      <c r="K230" s="55"/>
      <c r="L230" s="56"/>
      <c r="M230" s="56"/>
      <c r="N230" s="56"/>
      <c r="O230" s="56"/>
      <c r="P230" s="56"/>
      <c r="Q230" s="56"/>
      <c r="R230" s="56"/>
      <c r="S230" s="56"/>
      <c r="T230" s="57"/>
      <c r="U230" s="57"/>
      <c r="V230" s="57"/>
      <c r="W230" s="57"/>
      <c r="X230" s="57"/>
      <c r="Y230" s="57"/>
      <c r="Z230" s="57"/>
    </row>
    <row r="231" spans="1:26" s="41" customFormat="1" ht="46.5" customHeight="1" x14ac:dyDescent="0.2">
      <c r="A231" s="37">
        <v>4</v>
      </c>
      <c r="B231" s="43" t="s">
        <v>295</v>
      </c>
      <c r="C231" s="37" t="s">
        <v>103</v>
      </c>
      <c r="D231" s="37" t="s">
        <v>103</v>
      </c>
      <c r="E231" s="37" t="s">
        <v>103</v>
      </c>
      <c r="F231" s="50" t="s">
        <v>103</v>
      </c>
      <c r="G231" s="50" t="s">
        <v>103</v>
      </c>
      <c r="H231" s="37" t="s">
        <v>101</v>
      </c>
      <c r="I231" s="55"/>
      <c r="J231" s="55"/>
      <c r="K231" s="55"/>
      <c r="L231" s="56"/>
      <c r="M231" s="56"/>
      <c r="N231" s="56"/>
      <c r="O231" s="56"/>
      <c r="P231" s="56"/>
      <c r="Q231" s="56"/>
      <c r="R231" s="56"/>
      <c r="S231" s="56"/>
      <c r="T231" s="57"/>
      <c r="U231" s="57"/>
      <c r="V231" s="57"/>
      <c r="W231" s="57"/>
      <c r="X231" s="57"/>
      <c r="Y231" s="57"/>
      <c r="Z231" s="57"/>
    </row>
    <row r="232" spans="1:26" s="42" customFormat="1" ht="15" customHeight="1" x14ac:dyDescent="0.2">
      <c r="A232" s="59"/>
      <c r="B232" s="59"/>
      <c r="C232" s="59"/>
      <c r="D232" s="59"/>
      <c r="E232" s="59"/>
      <c r="F232" s="60"/>
      <c r="G232" s="60"/>
      <c r="H232" s="59"/>
    </row>
    <row r="233" spans="1:26" s="1" customFormat="1" ht="20" customHeight="1" x14ac:dyDescent="0.2">
      <c r="A233" s="103" t="s">
        <v>0</v>
      </c>
      <c r="B233" s="104"/>
      <c r="C233" s="104"/>
      <c r="D233" s="104"/>
      <c r="E233" s="104"/>
      <c r="F233" s="104"/>
      <c r="G233" s="104"/>
      <c r="H233" s="104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</row>
    <row r="234" spans="1:26" s="1" customFormat="1" ht="20" customHeight="1" x14ac:dyDescent="0.2">
      <c r="A234" s="105" t="s">
        <v>60</v>
      </c>
      <c r="B234" s="106"/>
      <c r="C234" s="106"/>
      <c r="D234" s="106"/>
      <c r="E234" s="106"/>
      <c r="F234" s="106"/>
      <c r="G234" s="106"/>
      <c r="H234" s="10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</row>
    <row r="235" spans="1:26" s="1" customFormat="1" ht="20" customHeight="1" x14ac:dyDescent="0.2">
      <c r="A235" s="107" t="s">
        <v>370</v>
      </c>
      <c r="B235" s="108"/>
      <c r="C235" s="108"/>
      <c r="D235" s="108"/>
      <c r="E235" s="108"/>
      <c r="F235" s="108"/>
      <c r="G235" s="108"/>
      <c r="H235" s="108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</row>
    <row r="236" spans="1:26" ht="17" x14ac:dyDescent="0.2">
      <c r="A236" s="109"/>
      <c r="B236" s="109"/>
      <c r="C236" s="109"/>
      <c r="D236" s="109"/>
      <c r="E236" s="109"/>
      <c r="F236" s="109"/>
      <c r="G236" s="109"/>
      <c r="H236" s="109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26" s="2" customFormat="1" ht="20" customHeight="1" x14ac:dyDescent="0.2">
      <c r="A237" s="110" t="s">
        <v>93</v>
      </c>
      <c r="B237" s="111"/>
      <c r="C237" s="111"/>
      <c r="D237" s="111"/>
      <c r="E237" s="111"/>
      <c r="F237" s="111"/>
      <c r="G237" s="111"/>
      <c r="H237" s="111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spans="1:26" s="2" customFormat="1" ht="20" customHeight="1" x14ac:dyDescent="0.2">
      <c r="A238" s="102" t="s">
        <v>94</v>
      </c>
      <c r="B238" s="102"/>
      <c r="C238" s="102"/>
      <c r="D238" s="102"/>
      <c r="E238" s="102"/>
      <c r="F238" s="102"/>
      <c r="G238" s="102"/>
      <c r="H238" s="102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spans="1:26" s="2" customFormat="1" ht="7" customHeight="1" x14ac:dyDescent="0.2">
      <c r="A239" s="8"/>
      <c r="B239" s="9"/>
      <c r="C239" s="9"/>
      <c r="D239" s="9"/>
      <c r="E239" s="9"/>
      <c r="F239" s="9"/>
      <c r="G239" s="9"/>
      <c r="H239" s="9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spans="1:26" s="41" customFormat="1" ht="24" customHeight="1" x14ac:dyDescent="0.2">
      <c r="A240" s="61" t="s">
        <v>64</v>
      </c>
      <c r="B240" s="62" t="s">
        <v>65</v>
      </c>
      <c r="C240" s="61" t="s">
        <v>95</v>
      </c>
      <c r="D240" s="62" t="s">
        <v>96</v>
      </c>
      <c r="E240" s="61" t="s">
        <v>97</v>
      </c>
      <c r="F240" s="63" t="s">
        <v>98</v>
      </c>
      <c r="G240" s="64" t="s">
        <v>99</v>
      </c>
      <c r="H240" s="61" t="s">
        <v>100</v>
      </c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2"/>
      <c r="U240" s="52"/>
      <c r="V240" s="52"/>
      <c r="W240" s="52"/>
      <c r="X240" s="52"/>
      <c r="Y240" s="52"/>
      <c r="Z240" s="52"/>
    </row>
    <row r="241" spans="1:26" s="41" customFormat="1" ht="24" customHeight="1" x14ac:dyDescent="0.2">
      <c r="A241" s="133" t="s">
        <v>296</v>
      </c>
      <c r="B241" s="134"/>
      <c r="C241" s="134"/>
      <c r="D241" s="134"/>
      <c r="E241" s="134"/>
      <c r="F241" s="135"/>
      <c r="G241" s="135"/>
      <c r="H241" s="136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2"/>
      <c r="U241" s="52"/>
      <c r="V241" s="52"/>
      <c r="W241" s="52"/>
      <c r="X241" s="52"/>
      <c r="Y241" s="52"/>
      <c r="Z241" s="52"/>
    </row>
    <row r="242" spans="1:26" s="41" customFormat="1" ht="38" customHeight="1" x14ac:dyDescent="0.2">
      <c r="A242" s="37">
        <v>1</v>
      </c>
      <c r="B242" s="43" t="s">
        <v>258</v>
      </c>
      <c r="C242" s="37" t="s">
        <v>101</v>
      </c>
      <c r="D242" s="37" t="s">
        <v>101</v>
      </c>
      <c r="E242" s="37" t="s">
        <v>101</v>
      </c>
      <c r="F242" s="65" t="s">
        <v>155</v>
      </c>
      <c r="G242" s="65" t="s">
        <v>155</v>
      </c>
      <c r="H242" s="37" t="s">
        <v>101</v>
      </c>
      <c r="I242" s="55"/>
      <c r="J242" s="55"/>
      <c r="K242" s="55"/>
      <c r="L242" s="56"/>
      <c r="M242" s="56"/>
      <c r="N242" s="56"/>
      <c r="O242" s="56"/>
      <c r="P242" s="56"/>
      <c r="Q242" s="56"/>
      <c r="R242" s="56"/>
      <c r="S242" s="56"/>
    </row>
    <row r="243" spans="1:26" s="41" customFormat="1" ht="22" customHeight="1" x14ac:dyDescent="0.2">
      <c r="A243" s="37">
        <v>2</v>
      </c>
      <c r="B243" s="43" t="s">
        <v>216</v>
      </c>
      <c r="C243" s="65" t="s">
        <v>155</v>
      </c>
      <c r="D243" s="37" t="s">
        <v>101</v>
      </c>
      <c r="E243" s="37" t="s">
        <v>101</v>
      </c>
      <c r="F243" s="65" t="s">
        <v>155</v>
      </c>
      <c r="G243" s="65" t="s">
        <v>155</v>
      </c>
      <c r="H243" s="53" t="s">
        <v>102</v>
      </c>
      <c r="I243" s="55"/>
      <c r="J243" s="55"/>
      <c r="K243" s="55"/>
      <c r="L243" s="56"/>
      <c r="M243" s="56"/>
      <c r="N243" s="56"/>
      <c r="O243" s="56"/>
      <c r="P243" s="56"/>
      <c r="Q243" s="56"/>
      <c r="R243" s="56"/>
      <c r="S243" s="56"/>
    </row>
    <row r="244" spans="1:26" s="41" customFormat="1" ht="24" customHeight="1" x14ac:dyDescent="0.2">
      <c r="A244" s="133" t="s">
        <v>297</v>
      </c>
      <c r="B244" s="134"/>
      <c r="C244" s="134"/>
      <c r="D244" s="134"/>
      <c r="E244" s="134"/>
      <c r="F244" s="135"/>
      <c r="G244" s="135"/>
      <c r="H244" s="136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50" customHeight="1" x14ac:dyDescent="0.2">
      <c r="A245" s="37">
        <v>1</v>
      </c>
      <c r="B245" s="43" t="s">
        <v>298</v>
      </c>
      <c r="C245" s="27" t="s">
        <v>194</v>
      </c>
      <c r="D245" s="27" t="s">
        <v>194</v>
      </c>
      <c r="E245" s="14" t="s">
        <v>103</v>
      </c>
      <c r="F245" s="14" t="s">
        <v>103</v>
      </c>
      <c r="G245" s="14" t="s">
        <v>103</v>
      </c>
      <c r="H245" s="19" t="s">
        <v>155</v>
      </c>
      <c r="I245" s="55"/>
      <c r="J245" s="55"/>
      <c r="K245" s="55"/>
      <c r="L245" s="56"/>
      <c r="M245" s="56"/>
      <c r="N245" s="56"/>
      <c r="O245" s="56"/>
      <c r="P245" s="56"/>
      <c r="Q245" s="56"/>
      <c r="R245" s="56"/>
      <c r="S245" s="56"/>
    </row>
    <row r="246" spans="1:26" s="41" customFormat="1" ht="50" customHeight="1" x14ac:dyDescent="0.2">
      <c r="A246" s="37">
        <v>2</v>
      </c>
      <c r="B246" s="43" t="s">
        <v>299</v>
      </c>
      <c r="C246" s="27" t="s">
        <v>194</v>
      </c>
      <c r="D246" s="27" t="s">
        <v>194</v>
      </c>
      <c r="E246" s="14" t="s">
        <v>103</v>
      </c>
      <c r="F246" s="14" t="s">
        <v>103</v>
      </c>
      <c r="G246" s="14" t="s">
        <v>103</v>
      </c>
      <c r="H246" s="19" t="s">
        <v>155</v>
      </c>
      <c r="I246" s="55"/>
      <c r="J246" s="55"/>
      <c r="K246" s="55"/>
      <c r="L246" s="56"/>
      <c r="M246" s="56"/>
      <c r="N246" s="56"/>
      <c r="O246" s="56"/>
      <c r="P246" s="56"/>
      <c r="Q246" s="56"/>
      <c r="R246" s="56"/>
      <c r="S246" s="56"/>
    </row>
    <row r="247" spans="1:26" s="41" customFormat="1" ht="51" customHeight="1" x14ac:dyDescent="0.2">
      <c r="A247" s="37">
        <v>3</v>
      </c>
      <c r="B247" s="43" t="s">
        <v>300</v>
      </c>
      <c r="C247" s="27" t="s">
        <v>194</v>
      </c>
      <c r="D247" s="27" t="s">
        <v>194</v>
      </c>
      <c r="E247" s="14" t="s">
        <v>103</v>
      </c>
      <c r="F247" s="14" t="s">
        <v>103</v>
      </c>
      <c r="G247" s="14" t="s">
        <v>103</v>
      </c>
      <c r="H247" s="19" t="s">
        <v>155</v>
      </c>
      <c r="I247" s="55"/>
      <c r="J247" s="55"/>
      <c r="K247" s="55"/>
      <c r="L247" s="56"/>
      <c r="M247" s="56"/>
      <c r="N247" s="56"/>
      <c r="O247" s="56"/>
      <c r="P247" s="56"/>
      <c r="Q247" s="56"/>
      <c r="R247" s="56"/>
      <c r="S247" s="56"/>
    </row>
    <row r="248" spans="1:26" s="41" customFormat="1" ht="53" customHeight="1" x14ac:dyDescent="0.2">
      <c r="A248" s="37">
        <v>4</v>
      </c>
      <c r="B248" s="43" t="s">
        <v>301</v>
      </c>
      <c r="C248" s="27" t="s">
        <v>194</v>
      </c>
      <c r="D248" s="27" t="s">
        <v>194</v>
      </c>
      <c r="E248" s="14" t="s">
        <v>103</v>
      </c>
      <c r="F248" s="14" t="s">
        <v>103</v>
      </c>
      <c r="G248" s="14" t="s">
        <v>103</v>
      </c>
      <c r="H248" s="19" t="s">
        <v>155</v>
      </c>
      <c r="I248" s="55"/>
      <c r="J248" s="55"/>
      <c r="K248" s="55"/>
      <c r="L248" s="56"/>
      <c r="M248" s="56"/>
      <c r="N248" s="56"/>
      <c r="O248" s="56"/>
      <c r="P248" s="56"/>
      <c r="Q248" s="56"/>
      <c r="R248" s="56"/>
      <c r="S248" s="56"/>
    </row>
    <row r="249" spans="1:26" s="41" customFormat="1" ht="51" customHeight="1" x14ac:dyDescent="0.2">
      <c r="A249" s="37">
        <v>5</v>
      </c>
      <c r="B249" s="43" t="s">
        <v>302</v>
      </c>
      <c r="C249" s="27" t="s">
        <v>194</v>
      </c>
      <c r="D249" s="27" t="s">
        <v>194</v>
      </c>
      <c r="E249" s="14" t="s">
        <v>103</v>
      </c>
      <c r="F249" s="14" t="s">
        <v>103</v>
      </c>
      <c r="G249" s="14" t="s">
        <v>103</v>
      </c>
      <c r="H249" s="19" t="s">
        <v>155</v>
      </c>
      <c r="I249" s="55"/>
      <c r="J249" s="55"/>
      <c r="K249" s="55"/>
      <c r="L249" s="56"/>
      <c r="M249" s="56"/>
      <c r="N249" s="56"/>
      <c r="O249" s="56"/>
      <c r="P249" s="56"/>
      <c r="Q249" s="56"/>
      <c r="R249" s="56"/>
      <c r="S249" s="56"/>
    </row>
    <row r="250" spans="1:26" s="41" customFormat="1" ht="35" customHeight="1" x14ac:dyDescent="0.2">
      <c r="A250" s="37">
        <v>6</v>
      </c>
      <c r="B250" s="43" t="s">
        <v>303</v>
      </c>
      <c r="C250" s="27" t="s">
        <v>194</v>
      </c>
      <c r="D250" s="27" t="s">
        <v>194</v>
      </c>
      <c r="E250" s="14" t="s">
        <v>103</v>
      </c>
      <c r="F250" s="14" t="s">
        <v>103</v>
      </c>
      <c r="G250" s="14" t="s">
        <v>103</v>
      </c>
      <c r="H250" s="19" t="s">
        <v>155</v>
      </c>
      <c r="I250" s="55"/>
      <c r="J250" s="55"/>
      <c r="K250" s="55"/>
      <c r="L250" s="56"/>
      <c r="M250" s="56"/>
      <c r="N250" s="56"/>
      <c r="O250" s="56"/>
      <c r="P250" s="56"/>
      <c r="Q250" s="56"/>
      <c r="R250" s="56"/>
      <c r="S250" s="56"/>
    </row>
    <row r="251" spans="1:26" s="41" customFormat="1" ht="24" customHeight="1" x14ac:dyDescent="0.2">
      <c r="A251" s="133" t="s">
        <v>304</v>
      </c>
      <c r="B251" s="134"/>
      <c r="C251" s="134"/>
      <c r="D251" s="134"/>
      <c r="E251" s="134"/>
      <c r="F251" s="135"/>
      <c r="G251" s="135"/>
      <c r="H251" s="136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2"/>
      <c r="U251" s="52"/>
      <c r="V251" s="52"/>
      <c r="W251" s="52"/>
      <c r="X251" s="52"/>
      <c r="Y251" s="52"/>
      <c r="Z251" s="52"/>
    </row>
    <row r="252" spans="1:26" s="41" customFormat="1" ht="49" customHeight="1" x14ac:dyDescent="0.2">
      <c r="A252" s="37">
        <v>1</v>
      </c>
      <c r="B252" s="43" t="s">
        <v>305</v>
      </c>
      <c r="C252" s="27" t="s">
        <v>194</v>
      </c>
      <c r="D252" s="27" t="s">
        <v>194</v>
      </c>
      <c r="E252" s="14" t="s">
        <v>103</v>
      </c>
      <c r="F252" s="14" t="s">
        <v>103</v>
      </c>
      <c r="G252" s="14" t="s">
        <v>103</v>
      </c>
      <c r="H252" s="19" t="s">
        <v>155</v>
      </c>
      <c r="I252" s="55"/>
      <c r="J252" s="55"/>
      <c r="K252" s="55"/>
      <c r="L252" s="56"/>
      <c r="M252" s="56"/>
      <c r="N252" s="56"/>
      <c r="O252" s="56"/>
      <c r="P252" s="56"/>
      <c r="Q252" s="56"/>
      <c r="R252" s="56"/>
      <c r="S252" s="56"/>
    </row>
    <row r="253" spans="1:26" s="41" customFormat="1" ht="49" customHeight="1" x14ac:dyDescent="0.2">
      <c r="A253" s="37">
        <v>2</v>
      </c>
      <c r="B253" s="43" t="s">
        <v>306</v>
      </c>
      <c r="C253" s="27" t="s">
        <v>194</v>
      </c>
      <c r="D253" s="27" t="s">
        <v>194</v>
      </c>
      <c r="E253" s="14" t="s">
        <v>103</v>
      </c>
      <c r="F253" s="14" t="s">
        <v>103</v>
      </c>
      <c r="G253" s="14" t="s">
        <v>103</v>
      </c>
      <c r="H253" s="19" t="s">
        <v>155</v>
      </c>
      <c r="I253" s="55"/>
      <c r="J253" s="55"/>
      <c r="K253" s="55"/>
      <c r="L253" s="56"/>
      <c r="M253" s="56"/>
      <c r="N253" s="56"/>
      <c r="O253" s="56"/>
      <c r="P253" s="56"/>
      <c r="Q253" s="56"/>
      <c r="R253" s="56"/>
      <c r="S253" s="56"/>
    </row>
    <row r="254" spans="1:26" s="41" customFormat="1" ht="35" customHeight="1" x14ac:dyDescent="0.2">
      <c r="A254" s="37">
        <v>3</v>
      </c>
      <c r="B254" s="43" t="s">
        <v>307</v>
      </c>
      <c r="C254" s="27" t="s">
        <v>194</v>
      </c>
      <c r="D254" s="27" t="s">
        <v>194</v>
      </c>
      <c r="E254" s="14" t="s">
        <v>103</v>
      </c>
      <c r="F254" s="14" t="s">
        <v>103</v>
      </c>
      <c r="G254" s="14" t="s">
        <v>103</v>
      </c>
      <c r="H254" s="19" t="s">
        <v>155</v>
      </c>
      <c r="I254" s="55"/>
      <c r="J254" s="55"/>
      <c r="K254" s="55"/>
      <c r="L254" s="56"/>
      <c r="M254" s="56"/>
      <c r="N254" s="56"/>
      <c r="O254" s="56"/>
      <c r="P254" s="56"/>
      <c r="Q254" s="56"/>
      <c r="R254" s="56"/>
      <c r="S254" s="56"/>
    </row>
    <row r="255" spans="1:26" s="41" customFormat="1" ht="49" customHeight="1" x14ac:dyDescent="0.2">
      <c r="A255" s="37">
        <v>4</v>
      </c>
      <c r="B255" s="43" t="s">
        <v>308</v>
      </c>
      <c r="C255" s="27" t="s">
        <v>194</v>
      </c>
      <c r="D255" s="27" t="s">
        <v>194</v>
      </c>
      <c r="E255" s="14" t="s">
        <v>103</v>
      </c>
      <c r="F255" s="14" t="s">
        <v>103</v>
      </c>
      <c r="G255" s="14" t="s">
        <v>103</v>
      </c>
      <c r="H255" s="19" t="s">
        <v>155</v>
      </c>
      <c r="I255" s="55"/>
      <c r="J255" s="55"/>
      <c r="K255" s="55"/>
      <c r="L255" s="56"/>
      <c r="M255" s="56"/>
      <c r="N255" s="56"/>
      <c r="O255" s="56"/>
      <c r="P255" s="56"/>
      <c r="Q255" s="56"/>
      <c r="R255" s="56"/>
      <c r="S255" s="56"/>
    </row>
    <row r="256" spans="1:26" s="41" customFormat="1" ht="52" customHeight="1" x14ac:dyDescent="0.2">
      <c r="A256" s="37">
        <v>5</v>
      </c>
      <c r="B256" s="43" t="s">
        <v>309</v>
      </c>
      <c r="C256" s="27" t="s">
        <v>194</v>
      </c>
      <c r="D256" s="27" t="s">
        <v>194</v>
      </c>
      <c r="E256" s="14" t="s">
        <v>103</v>
      </c>
      <c r="F256" s="14" t="s">
        <v>103</v>
      </c>
      <c r="G256" s="14" t="s">
        <v>103</v>
      </c>
      <c r="H256" s="19" t="s">
        <v>155</v>
      </c>
      <c r="I256" s="55"/>
      <c r="J256" s="55"/>
      <c r="K256" s="55"/>
      <c r="L256" s="56"/>
      <c r="M256" s="56"/>
      <c r="N256" s="56"/>
      <c r="O256" s="56"/>
      <c r="P256" s="56"/>
      <c r="Q256" s="56"/>
      <c r="R256" s="56"/>
      <c r="S256" s="56"/>
    </row>
    <row r="257" spans="1:26" s="41" customFormat="1" ht="38" customHeight="1" x14ac:dyDescent="0.2">
      <c r="A257" s="37">
        <v>6</v>
      </c>
      <c r="B257" s="43" t="s">
        <v>310</v>
      </c>
      <c r="C257" s="27" t="s">
        <v>194</v>
      </c>
      <c r="D257" s="27" t="s">
        <v>194</v>
      </c>
      <c r="E257" s="14" t="s">
        <v>103</v>
      </c>
      <c r="F257" s="14" t="s">
        <v>103</v>
      </c>
      <c r="G257" s="14" t="s">
        <v>103</v>
      </c>
      <c r="H257" s="19" t="s">
        <v>155</v>
      </c>
      <c r="I257" s="55"/>
      <c r="J257" s="55"/>
      <c r="K257" s="55"/>
      <c r="L257" s="56"/>
      <c r="M257" s="56"/>
      <c r="N257" s="56"/>
      <c r="O257" s="56"/>
      <c r="P257" s="56"/>
      <c r="Q257" s="56"/>
      <c r="R257" s="56"/>
      <c r="S257" s="56"/>
    </row>
    <row r="258" spans="1:26" s="42" customFormat="1" ht="15" customHeight="1" x14ac:dyDescent="0.2">
      <c r="A258" s="59"/>
      <c r="B258" s="59"/>
      <c r="C258" s="59"/>
      <c r="D258" s="59"/>
      <c r="E258" s="59"/>
      <c r="F258" s="60"/>
      <c r="G258" s="60"/>
      <c r="H258" s="59"/>
    </row>
    <row r="259" spans="1:26" s="1" customFormat="1" ht="20" customHeight="1" x14ac:dyDescent="0.2">
      <c r="A259" s="103" t="s">
        <v>0</v>
      </c>
      <c r="B259" s="104"/>
      <c r="C259" s="104"/>
      <c r="D259" s="104"/>
      <c r="E259" s="104"/>
      <c r="F259" s="104"/>
      <c r="G259" s="104"/>
      <c r="H259" s="104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</row>
    <row r="260" spans="1:26" s="1" customFormat="1" ht="20" customHeight="1" x14ac:dyDescent="0.2">
      <c r="A260" s="105" t="s">
        <v>60</v>
      </c>
      <c r="B260" s="106"/>
      <c r="C260" s="106"/>
      <c r="D260" s="106"/>
      <c r="E260" s="106"/>
      <c r="F260" s="106"/>
      <c r="G260" s="106"/>
      <c r="H260" s="10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</row>
    <row r="261" spans="1:26" s="1" customFormat="1" ht="20" customHeight="1" x14ac:dyDescent="0.2">
      <c r="A261" s="107" t="s">
        <v>372</v>
      </c>
      <c r="B261" s="108"/>
      <c r="C261" s="108"/>
      <c r="D261" s="108"/>
      <c r="E261" s="108"/>
      <c r="F261" s="108"/>
      <c r="G261" s="108"/>
      <c r="H261" s="108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</row>
    <row r="262" spans="1:26" ht="17" x14ac:dyDescent="0.2">
      <c r="A262" s="109"/>
      <c r="B262" s="109"/>
      <c r="C262" s="109"/>
      <c r="D262" s="109"/>
      <c r="E262" s="109"/>
      <c r="F262" s="109"/>
      <c r="G262" s="109"/>
      <c r="H262" s="109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26" s="2" customFormat="1" ht="20" customHeight="1" x14ac:dyDescent="0.2">
      <c r="A263" s="110" t="s">
        <v>93</v>
      </c>
      <c r="B263" s="111"/>
      <c r="C263" s="111"/>
      <c r="D263" s="111"/>
      <c r="E263" s="111"/>
      <c r="F263" s="111"/>
      <c r="G263" s="111"/>
      <c r="H263" s="111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spans="1:26" s="2" customFormat="1" ht="20" customHeight="1" x14ac:dyDescent="0.2">
      <c r="A264" s="102" t="s">
        <v>94</v>
      </c>
      <c r="B264" s="102"/>
      <c r="C264" s="102"/>
      <c r="D264" s="102"/>
      <c r="E264" s="102"/>
      <c r="F264" s="102"/>
      <c r="G264" s="102"/>
      <c r="H264" s="102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spans="1:26" s="2" customFormat="1" ht="20" customHeight="1" x14ac:dyDescent="0.2">
      <c r="A265" s="8"/>
      <c r="B265" s="9"/>
      <c r="C265" s="9"/>
      <c r="D265" s="9"/>
      <c r="E265" s="9"/>
      <c r="F265" s="9"/>
      <c r="G265" s="9"/>
      <c r="H265" s="9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spans="1:26" s="41" customFormat="1" ht="24" customHeight="1" x14ac:dyDescent="0.2">
      <c r="A266" s="61" t="s">
        <v>64</v>
      </c>
      <c r="B266" s="62" t="s">
        <v>65</v>
      </c>
      <c r="C266" s="61" t="s">
        <v>95</v>
      </c>
      <c r="D266" s="62" t="s">
        <v>96</v>
      </c>
      <c r="E266" s="61" t="s">
        <v>97</v>
      </c>
      <c r="F266" s="63" t="s">
        <v>98</v>
      </c>
      <c r="G266" s="64" t="s">
        <v>99</v>
      </c>
      <c r="H266" s="61" t="s">
        <v>100</v>
      </c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24" customHeight="1" x14ac:dyDescent="0.2">
      <c r="A267" s="133" t="s">
        <v>311</v>
      </c>
      <c r="B267" s="134"/>
      <c r="C267" s="134"/>
      <c r="D267" s="134"/>
      <c r="E267" s="134"/>
      <c r="F267" s="135"/>
      <c r="G267" s="135"/>
      <c r="H267" s="136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2"/>
      <c r="U267" s="52"/>
      <c r="V267" s="52"/>
      <c r="W267" s="52"/>
      <c r="X267" s="52"/>
      <c r="Y267" s="52"/>
      <c r="Z267" s="52"/>
    </row>
    <row r="268" spans="1:26" s="41" customFormat="1" ht="50" customHeight="1" x14ac:dyDescent="0.2">
      <c r="A268" s="37">
        <v>1</v>
      </c>
      <c r="B268" s="43" t="s">
        <v>312</v>
      </c>
      <c r="C268" s="37" t="s">
        <v>101</v>
      </c>
      <c r="D268" s="37" t="s">
        <v>101</v>
      </c>
      <c r="E268" s="37" t="s">
        <v>101</v>
      </c>
      <c r="F268" s="65" t="s">
        <v>155</v>
      </c>
      <c r="G268" s="65" t="s">
        <v>155</v>
      </c>
      <c r="H268" s="37" t="s">
        <v>101</v>
      </c>
      <c r="I268" s="55"/>
      <c r="J268" s="55"/>
      <c r="K268" s="55"/>
      <c r="L268" s="56"/>
      <c r="M268" s="56"/>
      <c r="N268" s="56"/>
      <c r="O268" s="56"/>
      <c r="P268" s="56"/>
      <c r="Q268" s="56"/>
      <c r="R268" s="56"/>
      <c r="S268" s="56"/>
    </row>
    <row r="269" spans="1:26" s="41" customFormat="1" ht="22" customHeight="1" x14ac:dyDescent="0.2">
      <c r="A269" s="37">
        <v>2</v>
      </c>
      <c r="B269" s="43" t="s">
        <v>259</v>
      </c>
      <c r="C269" s="37" t="s">
        <v>101</v>
      </c>
      <c r="D269" s="37" t="s">
        <v>101</v>
      </c>
      <c r="E269" s="37" t="s">
        <v>101</v>
      </c>
      <c r="F269" s="65" t="s">
        <v>155</v>
      </c>
      <c r="G269" s="65" t="s">
        <v>155</v>
      </c>
      <c r="H269" s="37" t="s">
        <v>101</v>
      </c>
      <c r="I269" s="55"/>
      <c r="J269" s="55"/>
      <c r="K269" s="55"/>
      <c r="L269" s="56"/>
      <c r="M269" s="56"/>
      <c r="N269" s="56"/>
      <c r="O269" s="56"/>
      <c r="P269" s="56"/>
      <c r="Q269" s="56"/>
      <c r="R269" s="56"/>
      <c r="S269" s="56"/>
    </row>
    <row r="270" spans="1:26" s="41" customFormat="1" ht="41" customHeight="1" x14ac:dyDescent="0.2">
      <c r="A270" s="37">
        <v>3</v>
      </c>
      <c r="B270" s="43" t="s">
        <v>313</v>
      </c>
      <c r="C270" s="53" t="s">
        <v>102</v>
      </c>
      <c r="D270" s="37" t="s">
        <v>101</v>
      </c>
      <c r="E270" s="37" t="s">
        <v>101</v>
      </c>
      <c r="F270" s="65" t="s">
        <v>155</v>
      </c>
      <c r="G270" s="65" t="s">
        <v>155</v>
      </c>
      <c r="H270" s="53" t="s">
        <v>102</v>
      </c>
      <c r="I270" s="55"/>
      <c r="J270" s="55"/>
      <c r="K270" s="55"/>
      <c r="L270" s="56"/>
      <c r="M270" s="56"/>
      <c r="N270" s="56"/>
      <c r="O270" s="56"/>
      <c r="P270" s="56"/>
      <c r="Q270" s="56"/>
      <c r="R270" s="56"/>
      <c r="S270" s="56"/>
    </row>
    <row r="271" spans="1:26" s="41" customFormat="1" ht="24" customHeight="1" x14ac:dyDescent="0.2">
      <c r="A271" s="133" t="s">
        <v>314</v>
      </c>
      <c r="B271" s="134"/>
      <c r="C271" s="134"/>
      <c r="D271" s="134"/>
      <c r="E271" s="134"/>
      <c r="F271" s="135"/>
      <c r="G271" s="135"/>
      <c r="H271" s="136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2" customHeight="1" x14ac:dyDescent="0.2">
      <c r="A272" s="37">
        <v>1</v>
      </c>
      <c r="B272" s="83" t="s">
        <v>315</v>
      </c>
      <c r="C272" s="37" t="s">
        <v>101</v>
      </c>
      <c r="D272" s="37" t="s">
        <v>101</v>
      </c>
      <c r="E272" s="37" t="s">
        <v>101</v>
      </c>
      <c r="F272" s="65" t="s">
        <v>155</v>
      </c>
      <c r="G272" s="65" t="s">
        <v>155</v>
      </c>
      <c r="H272" s="37" t="s">
        <v>101</v>
      </c>
      <c r="I272" s="55"/>
      <c r="J272" s="55"/>
      <c r="K272" s="55"/>
      <c r="L272" s="56"/>
      <c r="M272" s="56"/>
      <c r="N272" s="56"/>
      <c r="O272" s="56"/>
      <c r="P272" s="56"/>
      <c r="Q272" s="56"/>
      <c r="R272" s="56"/>
      <c r="S272" s="56"/>
    </row>
    <row r="273" spans="1:26" s="41" customFormat="1" ht="37" customHeight="1" x14ac:dyDescent="0.2">
      <c r="A273" s="37">
        <v>2</v>
      </c>
      <c r="B273" s="83" t="s">
        <v>316</v>
      </c>
      <c r="C273" s="37" t="s">
        <v>101</v>
      </c>
      <c r="D273" s="37" t="s">
        <v>101</v>
      </c>
      <c r="E273" s="37" t="s">
        <v>101</v>
      </c>
      <c r="F273" s="65" t="s">
        <v>155</v>
      </c>
      <c r="G273" s="65" t="s">
        <v>155</v>
      </c>
      <c r="H273" s="37" t="s">
        <v>101</v>
      </c>
      <c r="I273" s="55"/>
      <c r="J273" s="55"/>
      <c r="K273" s="55"/>
      <c r="L273" s="56"/>
      <c r="M273" s="56"/>
      <c r="N273" s="56"/>
      <c r="O273" s="56"/>
      <c r="P273" s="56"/>
      <c r="Q273" s="56"/>
      <c r="R273" s="56"/>
      <c r="S273" s="56"/>
    </row>
    <row r="274" spans="1:26" s="41" customFormat="1" ht="24" customHeight="1" x14ac:dyDescent="0.2">
      <c r="A274" s="133" t="s">
        <v>317</v>
      </c>
      <c r="B274" s="134"/>
      <c r="C274" s="134"/>
      <c r="D274" s="134"/>
      <c r="E274" s="134"/>
      <c r="F274" s="135"/>
      <c r="G274" s="135"/>
      <c r="H274" s="136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2"/>
      <c r="U274" s="52"/>
      <c r="V274" s="52"/>
      <c r="W274" s="52"/>
      <c r="X274" s="52"/>
      <c r="Y274" s="52"/>
      <c r="Z274" s="52"/>
    </row>
    <row r="275" spans="1:26" s="41" customFormat="1" ht="36" customHeight="1" x14ac:dyDescent="0.2">
      <c r="A275" s="37">
        <v>1</v>
      </c>
      <c r="B275" s="43" t="s">
        <v>318</v>
      </c>
      <c r="C275" s="53" t="s">
        <v>102</v>
      </c>
      <c r="D275" s="65" t="s">
        <v>155</v>
      </c>
      <c r="E275" s="37" t="s">
        <v>103</v>
      </c>
      <c r="F275" s="65" t="s">
        <v>155</v>
      </c>
      <c r="G275" s="65" t="s">
        <v>155</v>
      </c>
      <c r="H275" s="65" t="s">
        <v>155</v>
      </c>
      <c r="I275" s="55"/>
      <c r="J275" s="55"/>
      <c r="K275" s="55"/>
      <c r="L275" s="56"/>
      <c r="M275" s="56"/>
      <c r="N275" s="56"/>
      <c r="O275" s="56"/>
      <c r="P275" s="56"/>
      <c r="Q275" s="56"/>
      <c r="R275" s="56"/>
      <c r="S275" s="56"/>
    </row>
    <row r="276" spans="1:26" s="41" customFormat="1" ht="36" customHeight="1" x14ac:dyDescent="0.2">
      <c r="A276" s="37">
        <v>2</v>
      </c>
      <c r="B276" s="43" t="s">
        <v>319</v>
      </c>
      <c r="C276" s="27" t="s">
        <v>194</v>
      </c>
      <c r="D276" s="27" t="s">
        <v>194</v>
      </c>
      <c r="E276" s="37" t="s">
        <v>103</v>
      </c>
      <c r="F276" s="37" t="s">
        <v>103</v>
      </c>
      <c r="G276" s="37" t="s">
        <v>103</v>
      </c>
      <c r="H276" s="65" t="s">
        <v>155</v>
      </c>
      <c r="I276" s="55"/>
      <c r="J276" s="55"/>
      <c r="K276" s="55"/>
      <c r="L276" s="56"/>
      <c r="M276" s="56"/>
      <c r="N276" s="56"/>
      <c r="O276" s="56"/>
      <c r="P276" s="56"/>
      <c r="Q276" s="56"/>
      <c r="R276" s="56"/>
      <c r="S276" s="56"/>
    </row>
    <row r="277" spans="1:26" s="41" customFormat="1" ht="36" customHeight="1" x14ac:dyDescent="0.2">
      <c r="A277" s="37">
        <v>3</v>
      </c>
      <c r="B277" s="43" t="s">
        <v>320</v>
      </c>
      <c r="C277" s="27" t="s">
        <v>194</v>
      </c>
      <c r="D277" s="27" t="s">
        <v>194</v>
      </c>
      <c r="E277" s="37" t="s">
        <v>103</v>
      </c>
      <c r="F277" s="37" t="s">
        <v>103</v>
      </c>
      <c r="G277" s="37" t="s">
        <v>103</v>
      </c>
      <c r="H277" s="65" t="s">
        <v>155</v>
      </c>
      <c r="I277" s="55"/>
      <c r="J277" s="55"/>
      <c r="K277" s="55"/>
      <c r="L277" s="56"/>
      <c r="M277" s="56"/>
      <c r="N277" s="56"/>
      <c r="O277" s="56"/>
      <c r="P277" s="56"/>
      <c r="Q277" s="56"/>
      <c r="R277" s="56"/>
      <c r="S277" s="56"/>
    </row>
    <row r="278" spans="1:26" s="41" customFormat="1" ht="51" customHeight="1" x14ac:dyDescent="0.2">
      <c r="A278" s="37">
        <v>4</v>
      </c>
      <c r="B278" s="43" t="s">
        <v>321</v>
      </c>
      <c r="C278" s="27" t="s">
        <v>194</v>
      </c>
      <c r="D278" s="27" t="s">
        <v>194</v>
      </c>
      <c r="E278" s="37" t="s">
        <v>103</v>
      </c>
      <c r="F278" s="37" t="s">
        <v>103</v>
      </c>
      <c r="G278" s="37" t="s">
        <v>103</v>
      </c>
      <c r="H278" s="65" t="s">
        <v>155</v>
      </c>
      <c r="I278" s="55"/>
      <c r="J278" s="55"/>
      <c r="K278" s="55"/>
      <c r="L278" s="56"/>
      <c r="M278" s="56"/>
      <c r="N278" s="56"/>
      <c r="O278" s="56"/>
      <c r="P278" s="56"/>
      <c r="Q278" s="56"/>
      <c r="R278" s="56"/>
      <c r="S278" s="56"/>
    </row>
    <row r="279" spans="1:26" s="41" customFormat="1" ht="24" customHeight="1" x14ac:dyDescent="0.2">
      <c r="A279" s="133" t="s">
        <v>322</v>
      </c>
      <c r="B279" s="134"/>
      <c r="C279" s="134"/>
      <c r="D279" s="134"/>
      <c r="E279" s="134"/>
      <c r="F279" s="135"/>
      <c r="G279" s="135"/>
      <c r="H279" s="136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2"/>
      <c r="U279" s="52"/>
      <c r="V279" s="52"/>
      <c r="W279" s="52"/>
      <c r="X279" s="52"/>
      <c r="Y279" s="52"/>
      <c r="Z279" s="52"/>
    </row>
    <row r="280" spans="1:26" s="41" customFormat="1" ht="56" customHeight="1" x14ac:dyDescent="0.2">
      <c r="A280" s="37">
        <v>1</v>
      </c>
      <c r="B280" s="43" t="s">
        <v>323</v>
      </c>
      <c r="C280" s="27" t="s">
        <v>194</v>
      </c>
      <c r="D280" s="27" t="s">
        <v>194</v>
      </c>
      <c r="E280" s="37" t="s">
        <v>103</v>
      </c>
      <c r="F280" s="37" t="s">
        <v>103</v>
      </c>
      <c r="G280" s="37" t="s">
        <v>103</v>
      </c>
      <c r="H280" s="50" t="s">
        <v>103</v>
      </c>
      <c r="I280" s="55"/>
      <c r="J280" s="55"/>
      <c r="K280" s="55"/>
      <c r="L280" s="56"/>
      <c r="M280" s="56"/>
      <c r="N280" s="56"/>
      <c r="O280" s="56"/>
      <c r="P280" s="56"/>
      <c r="Q280" s="56"/>
      <c r="R280" s="56"/>
      <c r="S280" s="56"/>
    </row>
    <row r="281" spans="1:26" s="41" customFormat="1" ht="41" customHeight="1" x14ac:dyDescent="0.2">
      <c r="A281" s="37">
        <v>2</v>
      </c>
      <c r="B281" s="43" t="s">
        <v>325</v>
      </c>
      <c r="C281" s="27" t="s">
        <v>194</v>
      </c>
      <c r="D281" s="27" t="s">
        <v>194</v>
      </c>
      <c r="E281" s="37" t="s">
        <v>103</v>
      </c>
      <c r="F281" s="37" t="s">
        <v>103</v>
      </c>
      <c r="G281" s="37" t="s">
        <v>103</v>
      </c>
      <c r="H281" s="50" t="s">
        <v>103</v>
      </c>
      <c r="I281" s="55"/>
      <c r="J281" s="55"/>
      <c r="K281" s="55"/>
      <c r="L281" s="56"/>
      <c r="M281" s="56"/>
      <c r="N281" s="56"/>
      <c r="O281" s="56"/>
      <c r="P281" s="56"/>
      <c r="Q281" s="56"/>
      <c r="R281" s="56"/>
      <c r="S281" s="56"/>
    </row>
    <row r="282" spans="1:26" s="5" customFormat="1" ht="15" customHeight="1" x14ac:dyDescent="0.2">
      <c r="A282" s="29"/>
      <c r="B282" s="30"/>
      <c r="C282" s="29"/>
      <c r="D282" s="29"/>
      <c r="E282" s="29"/>
      <c r="F282" s="29"/>
      <c r="G282" s="29"/>
      <c r="H282" s="29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</row>
    <row r="283" spans="1:26" s="5" customFormat="1" ht="15" customHeight="1" x14ac:dyDescent="0.2">
      <c r="A283" s="29"/>
      <c r="B283" s="30"/>
      <c r="C283" s="29"/>
      <c r="D283" s="29"/>
      <c r="E283" s="29"/>
      <c r="F283" s="29"/>
      <c r="G283" s="29"/>
      <c r="H283" s="29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</row>
    <row r="284" spans="1:26" ht="18" customHeight="1" x14ac:dyDescent="0.2">
      <c r="A284" s="32" t="s">
        <v>104</v>
      </c>
      <c r="B284" s="6"/>
      <c r="C284" s="6"/>
      <c r="D284" s="32" t="s">
        <v>105</v>
      </c>
      <c r="E284" s="6"/>
      <c r="F284" s="10" t="s">
        <v>106</v>
      </c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26" ht="10" customHeight="1" x14ac:dyDescent="0.2">
      <c r="A285" s="32"/>
      <c r="B285" s="6"/>
      <c r="C285" s="6"/>
      <c r="D285" s="32"/>
      <c r="E285" s="6"/>
      <c r="F285" s="33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26" ht="31" customHeight="1" x14ac:dyDescent="0.2">
      <c r="A286" s="32"/>
      <c r="B286" s="6"/>
      <c r="C286" s="6"/>
      <c r="D286" s="32"/>
      <c r="E286" s="6"/>
      <c r="F286" s="33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26" ht="18" customHeight="1" x14ac:dyDescent="0.2">
      <c r="A287" s="13" t="s">
        <v>107</v>
      </c>
      <c r="B287" s="6"/>
      <c r="C287" s="6"/>
      <c r="D287" s="13" t="s">
        <v>108</v>
      </c>
      <c r="E287" s="6"/>
      <c r="F287" s="13" t="s">
        <v>109</v>
      </c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ht="18" customHeight="1" x14ac:dyDescent="0.2">
      <c r="A288" s="32" t="s">
        <v>110</v>
      </c>
      <c r="B288" s="6"/>
      <c r="C288" s="6"/>
      <c r="D288" s="32" t="s">
        <v>111</v>
      </c>
      <c r="E288" s="6"/>
      <c r="F288" s="32" t="s">
        <v>112</v>
      </c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" customHeight="1" x14ac:dyDescent="0.2">
      <c r="A999" s="7"/>
      <c r="B999" s="7"/>
      <c r="C999" s="7"/>
      <c r="D999" s="7"/>
      <c r="E999" s="7"/>
      <c r="F999" s="31"/>
      <c r="G999" s="31"/>
      <c r="H999" s="7"/>
    </row>
  </sheetData>
  <mergeCells count="89">
    <mergeCell ref="A267:H267"/>
    <mergeCell ref="A271:H271"/>
    <mergeCell ref="A274:H274"/>
    <mergeCell ref="A279:H279"/>
    <mergeCell ref="A260:H260"/>
    <mergeCell ref="A261:H261"/>
    <mergeCell ref="A262:H262"/>
    <mergeCell ref="A263:H263"/>
    <mergeCell ref="A264:H264"/>
    <mergeCell ref="A238:H238"/>
    <mergeCell ref="A241:H241"/>
    <mergeCell ref="A244:H244"/>
    <mergeCell ref="A251:H251"/>
    <mergeCell ref="A259:H259"/>
    <mergeCell ref="A233:H233"/>
    <mergeCell ref="A234:H234"/>
    <mergeCell ref="A235:H235"/>
    <mergeCell ref="A236:H236"/>
    <mergeCell ref="A237:H237"/>
    <mergeCell ref="A212:H212"/>
    <mergeCell ref="A215:H215"/>
    <mergeCell ref="A219:H219"/>
    <mergeCell ref="A222:H222"/>
    <mergeCell ref="A227:H227"/>
    <mergeCell ref="A207:H207"/>
    <mergeCell ref="A208:H208"/>
    <mergeCell ref="A209:H209"/>
    <mergeCell ref="A210:H210"/>
    <mergeCell ref="A211:H211"/>
    <mergeCell ref="A160:H160"/>
    <mergeCell ref="A164:H164"/>
    <mergeCell ref="A167:H167"/>
    <mergeCell ref="A172:H172"/>
    <mergeCell ref="A182:H182"/>
    <mergeCell ref="A153:H153"/>
    <mergeCell ref="A154:H154"/>
    <mergeCell ref="A155:H155"/>
    <mergeCell ref="A156:H156"/>
    <mergeCell ref="A157:H157"/>
    <mergeCell ref="I135:K135"/>
    <mergeCell ref="A138:H138"/>
    <mergeCell ref="A141:H141"/>
    <mergeCell ref="A146:H146"/>
    <mergeCell ref="A152:H152"/>
    <mergeCell ref="A128:H128"/>
    <mergeCell ref="A129:H129"/>
    <mergeCell ref="A130:H130"/>
    <mergeCell ref="A131:H131"/>
    <mergeCell ref="A134:H134"/>
    <mergeCell ref="I107:K107"/>
    <mergeCell ref="A109:H109"/>
    <mergeCell ref="A116:H116"/>
    <mergeCell ref="A126:H126"/>
    <mergeCell ref="A127:H127"/>
    <mergeCell ref="A100:H100"/>
    <mergeCell ref="A101:H101"/>
    <mergeCell ref="A102:H102"/>
    <mergeCell ref="A103:H103"/>
    <mergeCell ref="A106:H106"/>
    <mergeCell ref="A85:H85"/>
    <mergeCell ref="A88:H88"/>
    <mergeCell ref="A93:H93"/>
    <mergeCell ref="A98:H98"/>
    <mergeCell ref="A99:H99"/>
    <mergeCell ref="A75:H75"/>
    <mergeCell ref="A76:H76"/>
    <mergeCell ref="A77:H77"/>
    <mergeCell ref="A78:H78"/>
    <mergeCell ref="A81:H81"/>
    <mergeCell ref="A46:H46"/>
    <mergeCell ref="I47:K47"/>
    <mergeCell ref="A56:H56"/>
    <mergeCell ref="A73:H73"/>
    <mergeCell ref="A74:H74"/>
    <mergeCell ref="A30:H30"/>
    <mergeCell ref="A31:H31"/>
    <mergeCell ref="A34:H34"/>
    <mergeCell ref="A38:H38"/>
    <mergeCell ref="A41:H41"/>
    <mergeCell ref="A8:H8"/>
    <mergeCell ref="A26:H26"/>
    <mergeCell ref="A27:H27"/>
    <mergeCell ref="A28:H28"/>
    <mergeCell ref="A29:H29"/>
    <mergeCell ref="A3:H3"/>
    <mergeCell ref="A4:H4"/>
    <mergeCell ref="A5:H5"/>
    <mergeCell ref="A6:H6"/>
    <mergeCell ref="A7:H7"/>
  </mergeCells>
  <dataValidations count="6">
    <dataValidation type="list" allowBlank="1" showErrorMessage="1" sqref="C163 F163:H163 F178:G178 F216:G216 F217:H217 F218:G218 F275:H275 H276:H278 F223:H225 F168:G171 C223:D226 C174:D181 C183:G185 C242:H243 C268:H270 C272:H273 H230:H231 F161:G162 F165:G166 F173:G174 F220:G221 C275:D275 C168:D171 C228:D231" xr:uid="{00000000-0002-0000-0500-000000000000}">
      <formula1>"Submitted,Pending,Not Yet Due,Overdue,N/A"</formula1>
    </dataValidation>
    <dataValidation type="list" allowBlank="1" showErrorMessage="1" sqref="D163:E163 C173:E173 E174 E178 H178 H216 H218 E168:E171 E226:H226 E275 E223:E225 H161:H162 H165:H166 H168:H171 H173:H174 H183:H185 H220:H221 C161:E162 C165:E166 C220:E221 C216:E218 E179:H181 E175:H177 E276:G278 E280:H281 E228:G231 H228:H229" xr:uid="{00000000-0002-0000-0500-000001000000}">
      <formula1>"Submitted,Pending,Not Yet Due,N/A"</formula1>
    </dataValidation>
    <dataValidation type="list" allowBlank="1" showErrorMessage="1" sqref="E35:E37 E39:E40 E42:E45 E135:E137 E57:E59 E82:E84 E86:E87 E89:E92 E94:E97 E147:E148 E110:E115 E117:E122 E107:E108 E47:E55 E142:E145 E139:E140" xr:uid="{00000000-0002-0000-0500-000002000000}">
      <formula1>"Implemented,Ongoing,For Implementation,Rescheduled,Deferred,Cancelled"</formula1>
    </dataValidation>
    <dataValidation type="list" allowBlank="1" showInputMessage="1" showErrorMessage="1" sqref="C252:H257 C245:H250 C282:H283 C276:D278 C280:D281" xr:uid="{00000000-0002-0000-0500-000004000000}">
      <formula1>"Submitted,Pending,Not Yet Due,Overdue,N/A"</formula1>
    </dataValidation>
    <dataValidation type="list" allowBlank="1" showErrorMessage="1" sqref="G11:G17" xr:uid="{00000000-0002-0000-0500-000003000000}">
      <formula1>"MET,Partially MET,UNMET,Not Yet Due,Overdue"</formula1>
    </dataValidation>
    <dataValidation type="list" allowBlank="1" showInputMessage="1" showErrorMessage="1" sqref="G18" xr:uid="{AB57C672-110D-804F-9787-CAB5FD0EC981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69" fitToHeight="0" orientation="landscape"/>
  <headerFooter scaleWithDoc="0">
    <oddFooter>&amp;R&amp;"Calibri (Body),Regular"&amp;10&amp;K01+048Page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S791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3" customWidth="1"/>
    <col min="9" max="19" width="11.5" customWidth="1"/>
  </cols>
  <sheetData>
    <row r="2" spans="1:19" s="1" customFormat="1" ht="20" customHeight="1" x14ac:dyDescent="0.2">
      <c r="A2" s="103" t="s">
        <v>0</v>
      </c>
      <c r="B2" s="104"/>
      <c r="C2" s="104"/>
      <c r="D2" s="104"/>
      <c r="E2" s="104"/>
      <c r="F2" s="104"/>
      <c r="G2" s="104"/>
      <c r="H2" s="10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5" t="s">
        <v>60</v>
      </c>
      <c r="B3" s="106"/>
      <c r="C3" s="106"/>
      <c r="D3" s="106"/>
      <c r="E3" s="106"/>
      <c r="F3" s="106"/>
      <c r="G3" s="106"/>
      <c r="H3" s="10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7" t="s">
        <v>326</v>
      </c>
      <c r="B4" s="108"/>
      <c r="C4" s="108"/>
      <c r="D4" s="108"/>
      <c r="E4" s="108"/>
      <c r="F4" s="108"/>
      <c r="G4" s="108"/>
      <c r="H4" s="108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6" customHeight="1" x14ac:dyDescent="0.2">
      <c r="A5" s="109"/>
      <c r="B5" s="109"/>
      <c r="C5" s="109"/>
      <c r="D5" s="109"/>
      <c r="E5" s="109"/>
      <c r="F5" s="109"/>
      <c r="G5" s="109"/>
      <c r="H5" s="109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10" t="s">
        <v>2</v>
      </c>
      <c r="B6" s="111"/>
      <c r="C6" s="111"/>
      <c r="D6" s="111"/>
      <c r="E6" s="111"/>
      <c r="F6" s="111"/>
      <c r="G6" s="111"/>
      <c r="H6" s="111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2" t="s">
        <v>3</v>
      </c>
      <c r="B7" s="102"/>
      <c r="C7" s="102"/>
      <c r="D7" s="102"/>
      <c r="E7" s="102"/>
      <c r="F7" s="102"/>
      <c r="G7" s="102"/>
      <c r="H7" s="102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>E10-D10</f>
        <v>0</v>
      </c>
      <c r="G10" s="16" t="s">
        <v>15</v>
      </c>
      <c r="H10" s="15" t="s">
        <v>327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52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>E11-D11</f>
        <v>0</v>
      </c>
      <c r="G11" s="16" t="s">
        <v>15</v>
      </c>
      <c r="H11" s="15" t="s">
        <v>356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74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33</v>
      </c>
      <c r="F12" s="70">
        <f>E12-D12</f>
        <v>-76</v>
      </c>
      <c r="G12" s="19" t="s">
        <v>20</v>
      </c>
      <c r="H12" s="15" t="s">
        <v>328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>E13-D13</f>
        <v>3.0000000000000027E-2</v>
      </c>
      <c r="G13" s="16" t="s">
        <v>15</v>
      </c>
      <c r="H13" s="15" t="s">
        <v>329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124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68">
        <f>E14-D14</f>
        <v>-1</v>
      </c>
      <c r="G14" s="19" t="s">
        <v>20</v>
      </c>
      <c r="H14" s="15" t="s">
        <v>357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50" customHeight="1" x14ac:dyDescent="0.2">
      <c r="A15" s="14" t="s">
        <v>56</v>
      </c>
      <c r="B15" s="15" t="s">
        <v>57</v>
      </c>
      <c r="C15" s="14" t="s">
        <v>58</v>
      </c>
      <c r="D15" s="21">
        <v>0.7</v>
      </c>
      <c r="E15" s="39">
        <v>0.4083</v>
      </c>
      <c r="F15" s="98">
        <f t="shared" ref="F15" si="0">E15-D15</f>
        <v>-0.29169999999999996</v>
      </c>
      <c r="G15" s="19" t="s">
        <v>20</v>
      </c>
      <c r="H15" s="15" t="s">
        <v>381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5" customFormat="1" ht="19" customHeight="1" x14ac:dyDescent="0.2">
      <c r="A16" s="25"/>
      <c r="B16" s="25"/>
      <c r="C16" s="25"/>
      <c r="D16" s="25"/>
      <c r="E16" s="25"/>
      <c r="F16" s="25"/>
      <c r="G16" s="25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26" spans="1:19" s="1" customFormat="1" ht="20" customHeight="1" x14ac:dyDescent="0.2">
      <c r="A26" s="103" t="s">
        <v>0</v>
      </c>
      <c r="B26" s="104"/>
      <c r="C26" s="104"/>
      <c r="D26" s="104"/>
      <c r="E26" s="104"/>
      <c r="F26" s="104"/>
      <c r="G26" s="104"/>
      <c r="H26" s="104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19" s="1" customFormat="1" ht="20" customHeight="1" x14ac:dyDescent="0.2">
      <c r="A27" s="105" t="s">
        <v>60</v>
      </c>
      <c r="B27" s="106"/>
      <c r="C27" s="106"/>
      <c r="D27" s="106"/>
      <c r="E27" s="106"/>
      <c r="F27" s="106"/>
      <c r="G27" s="106"/>
      <c r="H27" s="10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40" customHeight="1" x14ac:dyDescent="0.2">
      <c r="A28" s="109" t="s">
        <v>358</v>
      </c>
      <c r="B28" s="108"/>
      <c r="C28" s="108"/>
      <c r="D28" s="108"/>
      <c r="E28" s="108"/>
      <c r="F28" s="108"/>
      <c r="G28" s="108"/>
      <c r="H28" s="108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ht="17" x14ac:dyDescent="0.2">
      <c r="A29" s="109"/>
      <c r="B29" s="109"/>
      <c r="C29" s="109"/>
      <c r="D29" s="109"/>
      <c r="E29" s="109"/>
      <c r="F29" s="109"/>
      <c r="G29" s="109"/>
      <c r="H29" s="109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s="2" customFormat="1" ht="20" customHeight="1" x14ac:dyDescent="0.2">
      <c r="A30" s="110" t="s">
        <v>62</v>
      </c>
      <c r="B30" s="111"/>
      <c r="C30" s="111"/>
      <c r="D30" s="111"/>
      <c r="E30" s="111"/>
      <c r="F30" s="111"/>
      <c r="G30" s="111"/>
      <c r="H30" s="11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s="2" customFormat="1" ht="20" customHeight="1" x14ac:dyDescent="0.2">
      <c r="A31" s="102" t="s">
        <v>63</v>
      </c>
      <c r="B31" s="102"/>
      <c r="C31" s="102"/>
      <c r="D31" s="102"/>
      <c r="E31" s="102"/>
      <c r="F31" s="102"/>
      <c r="G31" s="102"/>
      <c r="H31" s="10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3" customFormat="1" ht="24" customHeight="1" x14ac:dyDescent="0.2">
      <c r="A34" s="112" t="s">
        <v>330</v>
      </c>
      <c r="B34" s="113"/>
      <c r="C34" s="113"/>
      <c r="D34" s="113"/>
      <c r="E34" s="113"/>
      <c r="F34" s="113"/>
      <c r="G34" s="113"/>
      <c r="H34" s="114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50" customHeight="1" x14ac:dyDescent="0.2">
      <c r="A35" s="14">
        <v>1</v>
      </c>
      <c r="B35" s="15" t="s">
        <v>331</v>
      </c>
      <c r="C35" s="14" t="s">
        <v>332</v>
      </c>
      <c r="D35" s="14" t="s">
        <v>333</v>
      </c>
      <c r="E35" s="37" t="s">
        <v>89</v>
      </c>
      <c r="F35" s="38">
        <v>18400</v>
      </c>
      <c r="G35" s="38">
        <v>10800</v>
      </c>
      <c r="H35" s="39">
        <f>G35/F35</f>
        <v>0.58695652173913049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70" customHeight="1" x14ac:dyDescent="0.2">
      <c r="A36" s="14">
        <v>2</v>
      </c>
      <c r="B36" s="15" t="s">
        <v>334</v>
      </c>
      <c r="C36" s="14" t="s">
        <v>335</v>
      </c>
      <c r="D36" s="14" t="s">
        <v>81</v>
      </c>
      <c r="E36" s="16" t="s">
        <v>73</v>
      </c>
      <c r="F36" s="38" t="s">
        <v>227</v>
      </c>
      <c r="G36" s="38" t="s">
        <v>227</v>
      </c>
      <c r="H36" s="39" t="s">
        <v>227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50" customHeight="1" x14ac:dyDescent="0.2">
      <c r="A37" s="14">
        <v>3</v>
      </c>
      <c r="B37" s="15" t="s">
        <v>336</v>
      </c>
      <c r="C37" s="14" t="s">
        <v>91</v>
      </c>
      <c r="D37" s="14" t="s">
        <v>91</v>
      </c>
      <c r="E37" s="37" t="s">
        <v>89</v>
      </c>
      <c r="F37" s="38">
        <v>4000</v>
      </c>
      <c r="G37" s="38">
        <v>0</v>
      </c>
      <c r="H37" s="39">
        <f>G37/F37</f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3" customFormat="1" ht="24" customHeight="1" x14ac:dyDescent="0.2">
      <c r="A38" s="112" t="s">
        <v>337</v>
      </c>
      <c r="B38" s="113"/>
      <c r="C38" s="113"/>
      <c r="D38" s="113"/>
      <c r="E38" s="113"/>
      <c r="F38" s="113"/>
      <c r="G38" s="113"/>
      <c r="H38" s="114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spans="1:19" s="5" customFormat="1" ht="50" customHeight="1" x14ac:dyDescent="0.2">
      <c r="A39" s="14">
        <v>1</v>
      </c>
      <c r="B39" s="15" t="s">
        <v>359</v>
      </c>
      <c r="C39" s="14" t="s">
        <v>335</v>
      </c>
      <c r="D39" s="77" t="s">
        <v>338</v>
      </c>
      <c r="E39" s="37" t="s">
        <v>89</v>
      </c>
      <c r="F39" s="40" t="s">
        <v>339</v>
      </c>
      <c r="G39" s="38">
        <v>0</v>
      </c>
      <c r="H39" s="39">
        <v>0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6" customHeight="1" x14ac:dyDescent="0.2">
      <c r="A40" s="14">
        <v>2</v>
      </c>
      <c r="B40" s="15" t="s">
        <v>360</v>
      </c>
      <c r="C40" s="14" t="s">
        <v>340</v>
      </c>
      <c r="D40" s="77" t="s">
        <v>335</v>
      </c>
      <c r="E40" s="16" t="s">
        <v>73</v>
      </c>
      <c r="F40" s="40" t="s">
        <v>339</v>
      </c>
      <c r="G40" s="38">
        <v>0</v>
      </c>
      <c r="H40" s="39">
        <v>0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2" t="s">
        <v>341</v>
      </c>
      <c r="B41" s="113"/>
      <c r="C41" s="113"/>
      <c r="D41" s="113"/>
      <c r="E41" s="113"/>
      <c r="F41" s="113"/>
      <c r="G41" s="113"/>
      <c r="H41" s="114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48" customHeight="1" x14ac:dyDescent="0.2">
      <c r="A42" s="14">
        <v>1</v>
      </c>
      <c r="B42" s="15" t="s">
        <v>342</v>
      </c>
      <c r="C42" s="14" t="s">
        <v>81</v>
      </c>
      <c r="D42" s="77" t="s">
        <v>91</v>
      </c>
      <c r="E42" s="37" t="s">
        <v>89</v>
      </c>
      <c r="F42" s="38">
        <v>1350</v>
      </c>
      <c r="G42" s="38">
        <v>0</v>
      </c>
      <c r="H42" s="39">
        <f t="shared" ref="H42:H44" si="1">G42/F42</f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343</v>
      </c>
      <c r="C43" s="14" t="s">
        <v>84</v>
      </c>
      <c r="D43" s="77" t="s">
        <v>91</v>
      </c>
      <c r="E43" s="37" t="s">
        <v>89</v>
      </c>
      <c r="F43" s="38">
        <v>1350</v>
      </c>
      <c r="G43" s="38">
        <v>0</v>
      </c>
      <c r="H43" s="39">
        <f t="shared" si="1"/>
        <v>0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344</v>
      </c>
      <c r="C44" s="14" t="s">
        <v>345</v>
      </c>
      <c r="D44" s="77" t="s">
        <v>91</v>
      </c>
      <c r="E44" s="37" t="s">
        <v>89</v>
      </c>
      <c r="F44" s="38">
        <v>1350</v>
      </c>
      <c r="G44" s="38">
        <v>0</v>
      </c>
      <c r="H44" s="39">
        <f t="shared" si="1"/>
        <v>0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19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55" spans="1:19" s="1" customFormat="1" ht="20" customHeight="1" x14ac:dyDescent="0.2">
      <c r="A55" s="103" t="s">
        <v>0</v>
      </c>
      <c r="B55" s="104"/>
      <c r="C55" s="104"/>
      <c r="D55" s="104"/>
      <c r="E55" s="104"/>
      <c r="F55" s="104"/>
      <c r="G55" s="104"/>
      <c r="H55" s="104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s="1" customFormat="1" ht="20" customHeight="1" x14ac:dyDescent="0.2">
      <c r="A56" s="105" t="s">
        <v>60</v>
      </c>
      <c r="B56" s="106"/>
      <c r="C56" s="106"/>
      <c r="D56" s="106"/>
      <c r="E56" s="106"/>
      <c r="F56" s="106"/>
      <c r="G56" s="106"/>
      <c r="H56" s="10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s="1" customFormat="1" ht="44" customHeight="1" x14ac:dyDescent="0.2">
      <c r="A57" s="109" t="s">
        <v>358</v>
      </c>
      <c r="B57" s="108"/>
      <c r="C57" s="108"/>
      <c r="D57" s="108"/>
      <c r="E57" s="108"/>
      <c r="F57" s="108"/>
      <c r="G57" s="108"/>
      <c r="H57" s="108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ht="17" x14ac:dyDescent="0.2">
      <c r="A58" s="109"/>
      <c r="B58" s="109"/>
      <c r="C58" s="109"/>
      <c r="D58" s="109"/>
      <c r="E58" s="109"/>
      <c r="F58" s="109"/>
      <c r="G58" s="109"/>
      <c r="H58" s="109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s="2" customFormat="1" ht="20" customHeight="1" x14ac:dyDescent="0.2">
      <c r="A59" s="110" t="s">
        <v>93</v>
      </c>
      <c r="B59" s="111"/>
      <c r="C59" s="111"/>
      <c r="D59" s="111"/>
      <c r="E59" s="111"/>
      <c r="F59" s="111"/>
      <c r="G59" s="111"/>
      <c r="H59" s="111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s="2" customFormat="1" ht="20" customHeight="1" x14ac:dyDescent="0.2">
      <c r="A60" s="102" t="s">
        <v>94</v>
      </c>
      <c r="B60" s="102"/>
      <c r="C60" s="102"/>
      <c r="D60" s="102"/>
      <c r="E60" s="102"/>
      <c r="F60" s="102"/>
      <c r="G60" s="102"/>
      <c r="H60" s="102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 s="2" customFormat="1" ht="20" customHeight="1" x14ac:dyDescent="0.2">
      <c r="A61" s="8"/>
      <c r="B61" s="9"/>
      <c r="C61" s="9"/>
      <c r="D61" s="9"/>
      <c r="E61" s="9"/>
      <c r="F61" s="9"/>
      <c r="G61" s="9"/>
      <c r="H61" s="9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</row>
    <row r="62" spans="1:19" s="3" customFormat="1" ht="24" customHeight="1" x14ac:dyDescent="0.2">
      <c r="A62" s="11" t="s">
        <v>64</v>
      </c>
      <c r="B62" s="12" t="s">
        <v>65</v>
      </c>
      <c r="C62" s="11" t="s">
        <v>95</v>
      </c>
      <c r="D62" s="12" t="s">
        <v>96</v>
      </c>
      <c r="E62" s="11" t="s">
        <v>97</v>
      </c>
      <c r="F62" s="11" t="s">
        <v>98</v>
      </c>
      <c r="G62" s="12" t="s">
        <v>99</v>
      </c>
      <c r="H62" s="11" t="s">
        <v>100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3" customFormat="1" ht="24" customHeight="1" x14ac:dyDescent="0.2">
      <c r="A63" s="112" t="s">
        <v>330</v>
      </c>
      <c r="B63" s="113"/>
      <c r="C63" s="113"/>
      <c r="D63" s="113"/>
      <c r="E63" s="113"/>
      <c r="F63" s="113"/>
      <c r="G63" s="113"/>
      <c r="H63" s="114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</row>
    <row r="64" spans="1:19" s="3" customFormat="1" ht="54" customHeight="1" x14ac:dyDescent="0.2">
      <c r="A64" s="14">
        <v>1</v>
      </c>
      <c r="B64" s="15" t="s">
        <v>331</v>
      </c>
      <c r="C64" s="78" t="s">
        <v>194</v>
      </c>
      <c r="D64" s="78" t="s">
        <v>194</v>
      </c>
      <c r="E64" s="20" t="s">
        <v>103</v>
      </c>
      <c r="F64" s="20" t="s">
        <v>103</v>
      </c>
      <c r="G64" s="20" t="s">
        <v>103</v>
      </c>
      <c r="H64" s="16" t="s">
        <v>102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</row>
    <row r="65" spans="1:19" s="5" customFormat="1" ht="70" customHeight="1" x14ac:dyDescent="0.2">
      <c r="A65" s="14">
        <v>2</v>
      </c>
      <c r="B65" s="15" t="s">
        <v>334</v>
      </c>
      <c r="C65" s="16" t="s">
        <v>102</v>
      </c>
      <c r="D65" s="16" t="s">
        <v>102</v>
      </c>
      <c r="E65" s="20" t="s">
        <v>103</v>
      </c>
      <c r="F65" s="16" t="s">
        <v>102</v>
      </c>
      <c r="G65" s="16" t="s">
        <v>102</v>
      </c>
      <c r="H65" s="16" t="s">
        <v>102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spans="1:19" s="5" customFormat="1" ht="50" customHeight="1" x14ac:dyDescent="0.2">
      <c r="A66" s="14">
        <v>3</v>
      </c>
      <c r="B66" s="15" t="s">
        <v>336</v>
      </c>
      <c r="C66" s="20" t="s">
        <v>103</v>
      </c>
      <c r="D66" s="20" t="s">
        <v>103</v>
      </c>
      <c r="E66" s="20" t="s">
        <v>103</v>
      </c>
      <c r="F66" s="20" t="s">
        <v>103</v>
      </c>
      <c r="G66" s="20" t="s">
        <v>103</v>
      </c>
      <c r="H66" s="16" t="s">
        <v>102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3" customFormat="1" ht="24" customHeight="1" x14ac:dyDescent="0.2">
      <c r="A67" s="112" t="s">
        <v>337</v>
      </c>
      <c r="B67" s="113"/>
      <c r="C67" s="113"/>
      <c r="D67" s="113"/>
      <c r="E67" s="113"/>
      <c r="F67" s="113"/>
      <c r="G67" s="113"/>
      <c r="H67" s="114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50" customHeight="1" x14ac:dyDescent="0.2">
      <c r="A68" s="14">
        <v>1</v>
      </c>
      <c r="B68" s="15" t="s">
        <v>359</v>
      </c>
      <c r="C68" s="78" t="s">
        <v>194</v>
      </c>
      <c r="D68" s="78" t="s">
        <v>194</v>
      </c>
      <c r="E68" s="20" t="s">
        <v>103</v>
      </c>
      <c r="F68" s="20" t="s">
        <v>103</v>
      </c>
      <c r="G68" s="20" t="s">
        <v>103</v>
      </c>
      <c r="H68" s="16" t="s">
        <v>102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5" customHeight="1" x14ac:dyDescent="0.2">
      <c r="A69" s="14">
        <v>2</v>
      </c>
      <c r="B69" s="15" t="s">
        <v>360</v>
      </c>
      <c r="C69" s="16" t="s">
        <v>102</v>
      </c>
      <c r="D69" s="16" t="s">
        <v>102</v>
      </c>
      <c r="E69" s="20" t="s">
        <v>103</v>
      </c>
      <c r="F69" s="16" t="s">
        <v>102</v>
      </c>
      <c r="G69" s="16" t="s">
        <v>102</v>
      </c>
      <c r="H69" s="16" t="s">
        <v>102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3" customFormat="1" ht="24" customHeight="1" x14ac:dyDescent="0.2">
      <c r="A70" s="112" t="s">
        <v>341</v>
      </c>
      <c r="B70" s="113"/>
      <c r="C70" s="113"/>
      <c r="D70" s="113"/>
      <c r="E70" s="113"/>
      <c r="F70" s="113"/>
      <c r="G70" s="113"/>
      <c r="H70" s="114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s="5" customFormat="1" ht="58" customHeight="1" x14ac:dyDescent="0.2">
      <c r="A71" s="14">
        <v>1</v>
      </c>
      <c r="B71" s="15" t="s">
        <v>342</v>
      </c>
      <c r="C71" s="78" t="s">
        <v>194</v>
      </c>
      <c r="D71" s="78" t="s">
        <v>194</v>
      </c>
      <c r="E71" s="20" t="s">
        <v>103</v>
      </c>
      <c r="F71" s="20" t="s">
        <v>103</v>
      </c>
      <c r="G71" s="20" t="s">
        <v>103</v>
      </c>
      <c r="H71" s="16" t="s">
        <v>102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50" customHeight="1" x14ac:dyDescent="0.2">
      <c r="A72" s="14">
        <v>2</v>
      </c>
      <c r="B72" s="15" t="s">
        <v>343</v>
      </c>
      <c r="C72" s="78" t="s">
        <v>194</v>
      </c>
      <c r="D72" s="78" t="s">
        <v>194</v>
      </c>
      <c r="E72" s="20" t="s">
        <v>103</v>
      </c>
      <c r="F72" s="20" t="s">
        <v>103</v>
      </c>
      <c r="G72" s="20" t="s">
        <v>103</v>
      </c>
      <c r="H72" s="16" t="s">
        <v>102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50" customHeight="1" x14ac:dyDescent="0.2">
      <c r="A73" s="14">
        <v>3</v>
      </c>
      <c r="B73" s="15" t="s">
        <v>344</v>
      </c>
      <c r="C73" s="78" t="s">
        <v>194</v>
      </c>
      <c r="D73" s="78" t="s">
        <v>194</v>
      </c>
      <c r="E73" s="20" t="s">
        <v>103</v>
      </c>
      <c r="F73" s="20" t="s">
        <v>103</v>
      </c>
      <c r="G73" s="20" t="s">
        <v>103</v>
      </c>
      <c r="H73" s="16" t="s">
        <v>102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 t="s">
        <v>104</v>
      </c>
      <c r="B76" s="6"/>
      <c r="C76" s="6"/>
      <c r="D76" s="32" t="s">
        <v>105</v>
      </c>
      <c r="E76" s="6"/>
      <c r="F76" s="10" t="s">
        <v>106</v>
      </c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8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32"/>
      <c r="B78" s="6"/>
      <c r="C78" s="6"/>
      <c r="D78" s="32"/>
      <c r="E78" s="6"/>
      <c r="F78" s="33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13" t="s">
        <v>107</v>
      </c>
      <c r="B79" s="6"/>
      <c r="C79" s="6"/>
      <c r="D79" s="13" t="s">
        <v>108</v>
      </c>
      <c r="E79" s="6"/>
      <c r="F79" s="13" t="s">
        <v>109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8" customHeight="1" x14ac:dyDescent="0.2">
      <c r="A80" s="32" t="s">
        <v>110</v>
      </c>
      <c r="B80" s="6"/>
      <c r="C80" s="6"/>
      <c r="D80" s="32" t="s">
        <v>111</v>
      </c>
      <c r="E80" s="6"/>
      <c r="F80" s="32" t="s">
        <v>112</v>
      </c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" customHeight="1" x14ac:dyDescent="0.2">
      <c r="A791" s="7"/>
      <c r="B791" s="7"/>
      <c r="C791" s="7"/>
      <c r="D791" s="7"/>
      <c r="E791" s="7"/>
      <c r="F791" s="31"/>
      <c r="G791" s="31"/>
      <c r="H791" s="7"/>
    </row>
  </sheetData>
  <mergeCells count="24">
    <mergeCell ref="A60:H60"/>
    <mergeCell ref="A63:H63"/>
    <mergeCell ref="A67:H67"/>
    <mergeCell ref="A70:H70"/>
    <mergeCell ref="A55:H55"/>
    <mergeCell ref="A56:H56"/>
    <mergeCell ref="A57:H57"/>
    <mergeCell ref="A58:H58"/>
    <mergeCell ref="A59:H59"/>
    <mergeCell ref="A30:H30"/>
    <mergeCell ref="A31:H31"/>
    <mergeCell ref="A34:H34"/>
    <mergeCell ref="A38:H38"/>
    <mergeCell ref="A41:H41"/>
    <mergeCell ref="A7:H7"/>
    <mergeCell ref="A26:H26"/>
    <mergeCell ref="A27:H27"/>
    <mergeCell ref="A28:H28"/>
    <mergeCell ref="A29:H29"/>
    <mergeCell ref="A2:H2"/>
    <mergeCell ref="A3:H3"/>
    <mergeCell ref="A4:H4"/>
    <mergeCell ref="A5:H5"/>
    <mergeCell ref="A6:H6"/>
  </mergeCells>
  <dataValidations count="4">
    <dataValidation type="list" allowBlank="1" showErrorMessage="1" sqref="E35 E37 E39 E42:E44" xr:uid="{00000000-0002-0000-0600-000000000000}">
      <formula1>"Implemented,Ongoing,For Implementation,Rescheduled,Deferred,Cancelled"</formula1>
    </dataValidation>
    <dataValidation type="list" allowBlank="1" showInputMessage="1" showErrorMessage="1" sqref="E36 E40" xr:uid="{00000000-0002-0000-0600-000001000000}">
      <formula1>"Implemented, Ongoing, For Implementation, Rescheduled, Deferred, Cancelled"</formula1>
    </dataValidation>
    <dataValidation type="list" allowBlank="1" showInputMessage="1" showErrorMessage="1" sqref="G10:G15" xr:uid="{00000000-0002-0000-0600-000002000000}">
      <formula1>"MET, Partially MET,UNMET,Not Yet Due, Overdue"</formula1>
    </dataValidation>
    <dataValidation type="list" allowBlank="1" showInputMessage="1" showErrorMessage="1" sqref="C68:H69 C64:H66 C71:H73" xr:uid="{00000000-0002-0000-0600-000003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68" fitToHeight="0" orientation="landscape"/>
  <headerFooter scaleWithDoc="0">
    <oddFooter>&amp;R&amp;"Calibri (Body),Regular"&amp;10&amp;K01+048Page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3:S809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3" t="s">
        <v>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5" t="s">
        <v>60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7" t="s">
        <v>346</v>
      </c>
      <c r="B5" s="108"/>
      <c r="C5" s="108"/>
      <c r="D5" s="108"/>
      <c r="E5" s="108"/>
      <c r="F5" s="108"/>
      <c r="G5" s="108"/>
      <c r="H5" s="108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9"/>
      <c r="B6" s="109"/>
      <c r="C6" s="109"/>
      <c r="D6" s="109"/>
      <c r="E6" s="109"/>
      <c r="F6" s="109"/>
      <c r="G6" s="109"/>
      <c r="H6" s="109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10" t="s">
        <v>2</v>
      </c>
      <c r="B7" s="111"/>
      <c r="C7" s="111"/>
      <c r="D7" s="111"/>
      <c r="E7" s="111"/>
      <c r="F7" s="111"/>
      <c r="G7" s="111"/>
      <c r="H7" s="11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2" t="s">
        <v>3</v>
      </c>
      <c r="B8" s="102"/>
      <c r="C8" s="102"/>
      <c r="D8" s="102"/>
      <c r="E8" s="102"/>
      <c r="F8" s="102"/>
      <c r="G8" s="102"/>
      <c r="H8" s="102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9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6" si="0">E11-D11</f>
        <v>0</v>
      </c>
      <c r="G11" s="16" t="s">
        <v>15</v>
      </c>
      <c r="H11" s="15" t="s">
        <v>347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9" customHeight="1" x14ac:dyDescent="0.2">
      <c r="A12" s="14" t="s">
        <v>17</v>
      </c>
      <c r="B12" s="15" t="s">
        <v>18</v>
      </c>
      <c r="C12" s="14" t="s">
        <v>19</v>
      </c>
      <c r="D12" s="14">
        <v>1</v>
      </c>
      <c r="E12" s="14">
        <v>0</v>
      </c>
      <c r="F12" s="18">
        <f t="shared" si="0"/>
        <v>-1</v>
      </c>
      <c r="G12" s="19" t="s">
        <v>20</v>
      </c>
      <c r="H12" s="15" t="s">
        <v>348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85" customHeight="1" x14ac:dyDescent="0.2">
      <c r="A13" s="14" t="s">
        <v>22</v>
      </c>
      <c r="B13" s="15" t="s">
        <v>23</v>
      </c>
      <c r="C13" s="14" t="s">
        <v>19</v>
      </c>
      <c r="D13" s="14">
        <v>59</v>
      </c>
      <c r="E13" s="14">
        <v>59</v>
      </c>
      <c r="F13" s="20">
        <f t="shared" si="0"/>
        <v>0</v>
      </c>
      <c r="G13" s="16" t="s">
        <v>15</v>
      </c>
      <c r="H13" s="15" t="s">
        <v>349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22">
        <f t="shared" si="0"/>
        <v>3.0000000000000027E-2</v>
      </c>
      <c r="G14" s="16" t="s">
        <v>15</v>
      </c>
      <c r="H14" s="15" t="s">
        <v>350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84" customHeight="1" x14ac:dyDescent="0.2">
      <c r="A15" s="14" t="s">
        <v>28</v>
      </c>
      <c r="B15" s="15" t="s">
        <v>29</v>
      </c>
      <c r="C15" s="14" t="s">
        <v>19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351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0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39">
        <v>0</v>
      </c>
      <c r="F16" s="98">
        <f t="shared" si="0"/>
        <v>-0.7</v>
      </c>
      <c r="G16" s="78" t="s">
        <v>382</v>
      </c>
      <c r="H16" s="15" t="s">
        <v>383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5" customFormat="1" ht="19" customHeight="1" x14ac:dyDescent="0.2">
      <c r="A19" s="25"/>
      <c r="B19" s="25"/>
      <c r="C19" s="25"/>
      <c r="D19" s="25"/>
      <c r="E19" s="25"/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5" customFormat="1" ht="19" customHeight="1" x14ac:dyDescent="0.2">
      <c r="A20" s="25"/>
      <c r="B20" s="25"/>
      <c r="C20" s="25"/>
      <c r="D20" s="25"/>
      <c r="E20" s="25"/>
      <c r="F20" s="25"/>
      <c r="G20" s="25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5" customFormat="1" ht="19" customHeight="1" x14ac:dyDescent="0.2">
      <c r="A21" s="25"/>
      <c r="B21" s="25"/>
      <c r="C21" s="25"/>
      <c r="D21" s="25"/>
      <c r="E21" s="25"/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5" customFormat="1" ht="19" customHeight="1" x14ac:dyDescent="0.2">
      <c r="A22" s="25"/>
      <c r="B22" s="25"/>
      <c r="C22" s="25"/>
      <c r="D22" s="25"/>
      <c r="E22" s="25"/>
      <c r="F22" s="25"/>
      <c r="G22" s="25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5" customFormat="1" ht="19" customHeight="1" x14ac:dyDescent="0.2">
      <c r="A23" s="25"/>
      <c r="B23" s="25"/>
      <c r="C23" s="25"/>
      <c r="D23" s="25"/>
      <c r="E23" s="25"/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5" customFormat="1" ht="19" customHeight="1" x14ac:dyDescent="0.2">
      <c r="A24" s="25"/>
      <c r="B24" s="25"/>
      <c r="C24" s="25"/>
      <c r="D24" s="25"/>
      <c r="E24" s="25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5" customFormat="1" ht="19" customHeight="1" x14ac:dyDescent="0.2">
      <c r="A25" s="25"/>
      <c r="B25" s="25"/>
      <c r="C25" s="25"/>
      <c r="D25" s="25"/>
      <c r="E25" s="25"/>
      <c r="F25" s="25"/>
      <c r="G25" s="25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7" spans="1:19" s="1" customFormat="1" ht="20" customHeight="1" x14ac:dyDescent="0.2">
      <c r="A27" s="103" t="s">
        <v>0</v>
      </c>
      <c r="B27" s="104"/>
      <c r="C27" s="104"/>
      <c r="D27" s="104"/>
      <c r="E27" s="104"/>
      <c r="F27" s="104"/>
      <c r="G27" s="104"/>
      <c r="H27" s="10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20" customHeight="1" x14ac:dyDescent="0.2">
      <c r="A28" s="105" t="s">
        <v>60</v>
      </c>
      <c r="B28" s="106"/>
      <c r="C28" s="106"/>
      <c r="D28" s="106"/>
      <c r="E28" s="106"/>
      <c r="F28" s="106"/>
      <c r="G28" s="106"/>
      <c r="H28" s="10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s="1" customFormat="1" ht="20" customHeight="1" x14ac:dyDescent="0.2">
      <c r="A29" s="107" t="s">
        <v>352</v>
      </c>
      <c r="B29" s="108"/>
      <c r="C29" s="108"/>
      <c r="D29" s="108"/>
      <c r="E29" s="108"/>
      <c r="F29" s="108"/>
      <c r="G29" s="108"/>
      <c r="H29" s="108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ht="17" x14ac:dyDescent="0.2">
      <c r="A30" s="109"/>
      <c r="B30" s="109"/>
      <c r="C30" s="109"/>
      <c r="D30" s="109"/>
      <c r="E30" s="109"/>
      <c r="F30" s="109"/>
      <c r="G30" s="109"/>
      <c r="H30" s="109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s="2" customFormat="1" ht="20" customHeight="1" x14ac:dyDescent="0.2">
      <c r="A31" s="110" t="s">
        <v>62</v>
      </c>
      <c r="B31" s="111"/>
      <c r="C31" s="111"/>
      <c r="D31" s="111"/>
      <c r="E31" s="111"/>
      <c r="F31" s="111"/>
      <c r="G31" s="111"/>
      <c r="H31" s="11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102" t="s">
        <v>63</v>
      </c>
      <c r="B32" s="102"/>
      <c r="C32" s="102"/>
      <c r="D32" s="102"/>
      <c r="E32" s="102"/>
      <c r="F32" s="102"/>
      <c r="G32" s="102"/>
      <c r="H32" s="102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2" customFormat="1" ht="20" customHeight="1" x14ac:dyDescent="0.2">
      <c r="A33" s="8"/>
      <c r="B33" s="9"/>
      <c r="C33" s="9"/>
      <c r="D33" s="9"/>
      <c r="E33" s="9"/>
      <c r="F33" s="9"/>
      <c r="G33" s="9"/>
      <c r="H33" s="9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3" customFormat="1" ht="24" customHeight="1" x14ac:dyDescent="0.2">
      <c r="A34" s="11" t="s">
        <v>64</v>
      </c>
      <c r="B34" s="12" t="s">
        <v>65</v>
      </c>
      <c r="C34" s="11" t="s">
        <v>66</v>
      </c>
      <c r="D34" s="12" t="s">
        <v>67</v>
      </c>
      <c r="E34" s="11" t="s">
        <v>68</v>
      </c>
      <c r="F34" s="11" t="s">
        <v>69</v>
      </c>
      <c r="G34" s="12" t="s">
        <v>70</v>
      </c>
      <c r="H34" s="11" t="s">
        <v>57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3" customFormat="1" ht="24" customHeight="1" x14ac:dyDescent="0.2">
      <c r="A35" s="112" t="s">
        <v>353</v>
      </c>
      <c r="B35" s="113"/>
      <c r="C35" s="113"/>
      <c r="D35" s="113"/>
      <c r="E35" s="113"/>
      <c r="F35" s="113"/>
      <c r="G35" s="113"/>
      <c r="H35" s="114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19" s="5" customFormat="1" ht="46.75" customHeight="1" x14ac:dyDescent="0.2">
      <c r="A36" s="14">
        <v>1</v>
      </c>
      <c r="B36" s="15" t="s">
        <v>354</v>
      </c>
      <c r="C36" s="14" t="s">
        <v>81</v>
      </c>
      <c r="D36" s="27" t="s">
        <v>87</v>
      </c>
      <c r="E36" s="20" t="s">
        <v>73</v>
      </c>
      <c r="F36" s="28">
        <v>4500</v>
      </c>
      <c r="G36" s="50">
        <v>0</v>
      </c>
      <c r="H36" s="54">
        <f t="shared" ref="H36:H37" si="1">(G36/F36)</f>
        <v>0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46.75" customHeight="1" x14ac:dyDescent="0.2">
      <c r="A37" s="14">
        <v>2</v>
      </c>
      <c r="B37" s="15" t="s">
        <v>355</v>
      </c>
      <c r="C37" s="14" t="s">
        <v>87</v>
      </c>
      <c r="D37" s="14" t="s">
        <v>87</v>
      </c>
      <c r="E37" s="20" t="s">
        <v>73</v>
      </c>
      <c r="F37" s="28">
        <v>4500</v>
      </c>
      <c r="G37" s="50">
        <v>0</v>
      </c>
      <c r="H37" s="54">
        <f t="shared" si="1"/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20.5" customHeight="1" x14ac:dyDescent="0.2">
      <c r="A38" s="25"/>
      <c r="B38" s="25"/>
      <c r="C38" s="25"/>
      <c r="D38" s="25"/>
      <c r="E38" s="25"/>
      <c r="F38" s="25"/>
      <c r="G38" s="25"/>
      <c r="H38" s="2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20.5" customHeight="1" x14ac:dyDescent="0.2">
      <c r="A39" s="25"/>
      <c r="B39" s="25"/>
      <c r="C39" s="25"/>
      <c r="D39" s="25"/>
      <c r="E39" s="25"/>
      <c r="F39" s="25"/>
      <c r="G39" s="25"/>
      <c r="H39" s="2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20.5" customHeight="1" x14ac:dyDescent="0.2">
      <c r="A40" s="25"/>
      <c r="B40" s="25"/>
      <c r="C40" s="25"/>
      <c r="D40" s="25"/>
      <c r="E40" s="25"/>
      <c r="F40" s="25"/>
      <c r="G40" s="25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20.5" customHeight="1" x14ac:dyDescent="0.2">
      <c r="A41" s="25"/>
      <c r="B41" s="25"/>
      <c r="C41" s="25"/>
      <c r="D41" s="25"/>
      <c r="E41" s="25"/>
      <c r="F41" s="25"/>
      <c r="G41" s="25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20.5" customHeight="1" x14ac:dyDescent="0.2">
      <c r="A42" s="25"/>
      <c r="B42" s="25"/>
      <c r="C42" s="25"/>
      <c r="D42" s="25"/>
      <c r="E42" s="25"/>
      <c r="F42" s="25"/>
      <c r="G42" s="25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20.5" customHeight="1" x14ac:dyDescent="0.2">
      <c r="A43" s="25"/>
      <c r="B43" s="25"/>
      <c r="C43" s="25"/>
      <c r="D43" s="25"/>
      <c r="E43" s="25"/>
      <c r="F43" s="25"/>
      <c r="G43" s="25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20.5" customHeight="1" x14ac:dyDescent="0.2">
      <c r="A44" s="25"/>
      <c r="B44" s="25"/>
      <c r="C44" s="25"/>
      <c r="D44" s="25"/>
      <c r="E44" s="25"/>
      <c r="F44" s="25"/>
      <c r="G44" s="25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20.5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0.5" customHeight="1" x14ac:dyDescent="0.2">
      <c r="A46" s="25"/>
      <c r="B46" s="25"/>
      <c r="C46" s="25"/>
      <c r="D46" s="25"/>
      <c r="E46" s="25"/>
      <c r="F46" s="25"/>
      <c r="G46" s="25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20.5" customHeight="1" x14ac:dyDescent="0.2">
      <c r="A47" s="25"/>
      <c r="B47" s="25"/>
      <c r="C47" s="25"/>
      <c r="D47" s="25"/>
      <c r="E47" s="25"/>
      <c r="F47" s="25"/>
      <c r="G47" s="25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20.5" customHeight="1" x14ac:dyDescent="0.2">
      <c r="A48" s="25"/>
      <c r="B48" s="25"/>
      <c r="C48" s="25"/>
      <c r="D48" s="25"/>
      <c r="E48" s="25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19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19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71" spans="1:19" s="1" customFormat="1" ht="20" customHeight="1" x14ac:dyDescent="0.2">
      <c r="A71" s="103" t="s">
        <v>0</v>
      </c>
      <c r="B71" s="104"/>
      <c r="C71" s="104"/>
      <c r="D71" s="104"/>
      <c r="E71" s="104"/>
      <c r="F71" s="104"/>
      <c r="G71" s="104"/>
      <c r="H71" s="104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spans="1:19" s="1" customFormat="1" ht="20" customHeight="1" x14ac:dyDescent="0.2">
      <c r="A72" s="105" t="s">
        <v>60</v>
      </c>
      <c r="B72" s="106"/>
      <c r="C72" s="106"/>
      <c r="D72" s="106"/>
      <c r="E72" s="106"/>
      <c r="F72" s="106"/>
      <c r="G72" s="106"/>
      <c r="H72" s="10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</row>
    <row r="73" spans="1:19" s="1" customFormat="1" ht="20" customHeight="1" x14ac:dyDescent="0.2">
      <c r="A73" s="107" t="s">
        <v>352</v>
      </c>
      <c r="B73" s="108"/>
      <c r="C73" s="108"/>
      <c r="D73" s="108"/>
      <c r="E73" s="108"/>
      <c r="F73" s="108"/>
      <c r="G73" s="108"/>
      <c r="H73" s="108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ht="17" x14ac:dyDescent="0.2">
      <c r="A74" s="109"/>
      <c r="B74" s="109"/>
      <c r="C74" s="109"/>
      <c r="D74" s="109"/>
      <c r="E74" s="109"/>
      <c r="F74" s="109"/>
      <c r="G74" s="109"/>
      <c r="H74" s="109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s="2" customFormat="1" ht="20" customHeight="1" x14ac:dyDescent="0.2">
      <c r="A75" s="110" t="s">
        <v>93</v>
      </c>
      <c r="B75" s="111"/>
      <c r="C75" s="111"/>
      <c r="D75" s="111"/>
      <c r="E75" s="111"/>
      <c r="F75" s="111"/>
      <c r="G75" s="111"/>
      <c r="H75" s="111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</row>
    <row r="76" spans="1:19" s="2" customFormat="1" ht="20" customHeight="1" x14ac:dyDescent="0.2">
      <c r="A76" s="102" t="s">
        <v>94</v>
      </c>
      <c r="B76" s="102"/>
      <c r="C76" s="102"/>
      <c r="D76" s="102"/>
      <c r="E76" s="102"/>
      <c r="F76" s="102"/>
      <c r="G76" s="102"/>
      <c r="H76" s="102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</row>
    <row r="77" spans="1:19" s="2" customFormat="1" ht="20" customHeight="1" x14ac:dyDescent="0.2">
      <c r="A77" s="8"/>
      <c r="B77" s="9"/>
      <c r="C77" s="9"/>
      <c r="D77" s="9"/>
      <c r="E77" s="9"/>
      <c r="F77" s="9"/>
      <c r="G77" s="9"/>
      <c r="H77" s="9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3" customFormat="1" ht="24" customHeight="1" x14ac:dyDescent="0.2">
      <c r="A78" s="11" t="s">
        <v>64</v>
      </c>
      <c r="B78" s="12" t="s">
        <v>65</v>
      </c>
      <c r="C78" s="11" t="s">
        <v>95</v>
      </c>
      <c r="D78" s="12" t="s">
        <v>96</v>
      </c>
      <c r="E78" s="11" t="s">
        <v>97</v>
      </c>
      <c r="F78" s="11" t="s">
        <v>98</v>
      </c>
      <c r="G78" s="12" t="s">
        <v>99</v>
      </c>
      <c r="H78" s="11" t="s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</row>
    <row r="79" spans="1:19" s="5" customFormat="1" ht="46.75" customHeight="1" x14ac:dyDescent="0.2">
      <c r="A79" s="14">
        <v>1</v>
      </c>
      <c r="B79" s="15" t="s">
        <v>354</v>
      </c>
      <c r="C79" s="27" t="s">
        <v>194</v>
      </c>
      <c r="D79" s="27" t="s">
        <v>194</v>
      </c>
      <c r="E79" s="19" t="s">
        <v>155</v>
      </c>
      <c r="F79" s="27" t="s">
        <v>194</v>
      </c>
      <c r="G79" s="27" t="s">
        <v>194</v>
      </c>
      <c r="H79" s="16" t="s">
        <v>102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46.75" customHeight="1" x14ac:dyDescent="0.2">
      <c r="A80" s="14">
        <v>2</v>
      </c>
      <c r="B80" s="15" t="s">
        <v>355</v>
      </c>
      <c r="C80" s="19" t="s">
        <v>155</v>
      </c>
      <c r="D80" s="19" t="s">
        <v>155</v>
      </c>
      <c r="E80" s="19" t="s">
        <v>155</v>
      </c>
      <c r="F80" s="14" t="s">
        <v>103</v>
      </c>
      <c r="G80" s="14" t="s">
        <v>103</v>
      </c>
      <c r="H80" s="16" t="s">
        <v>102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46.75" customHeight="1" x14ac:dyDescent="0.2">
      <c r="A81" s="29"/>
      <c r="B81" s="30"/>
      <c r="C81" s="29"/>
      <c r="D81" s="29"/>
      <c r="E81" s="29"/>
      <c r="F81" s="29"/>
      <c r="G81" s="29"/>
      <c r="H81" s="29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46.75" customHeight="1" x14ac:dyDescent="0.2">
      <c r="A82" s="29"/>
      <c r="B82" s="30"/>
      <c r="C82" s="29"/>
      <c r="D82" s="29"/>
      <c r="E82" s="29"/>
      <c r="F82" s="29"/>
      <c r="G82" s="29"/>
      <c r="H82" s="29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46.75" customHeight="1" x14ac:dyDescent="0.2">
      <c r="A83" s="29"/>
      <c r="B83" s="30"/>
      <c r="C83" s="29"/>
      <c r="D83" s="29"/>
      <c r="E83" s="29"/>
      <c r="F83" s="29"/>
      <c r="G83" s="29"/>
      <c r="H83" s="29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46.75" customHeight="1" x14ac:dyDescent="0.2">
      <c r="A84" s="29"/>
      <c r="B84" s="30"/>
      <c r="C84" s="29"/>
      <c r="D84" s="29"/>
      <c r="E84" s="29"/>
      <c r="F84" s="29"/>
      <c r="G84" s="29"/>
      <c r="H84" s="29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ht="18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8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32" t="s">
        <v>104</v>
      </c>
      <c r="B90" s="6"/>
      <c r="C90" s="6"/>
      <c r="D90" s="32" t="s">
        <v>105</v>
      </c>
      <c r="E90" s="6"/>
      <c r="F90" s="10" t="s">
        <v>106</v>
      </c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32"/>
      <c r="B91" s="6"/>
      <c r="C91" s="6"/>
      <c r="D91" s="32"/>
      <c r="E91" s="6"/>
      <c r="F91" s="33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/>
      <c r="B92" s="6"/>
      <c r="C92" s="6"/>
      <c r="D92" s="32"/>
      <c r="E92" s="6"/>
      <c r="F92" s="33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13" t="s">
        <v>107</v>
      </c>
      <c r="B93" s="6"/>
      <c r="C93" s="6"/>
      <c r="D93" s="13" t="s">
        <v>108</v>
      </c>
      <c r="E93" s="6"/>
      <c r="F93" s="13" t="s">
        <v>109</v>
      </c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 t="s">
        <v>110</v>
      </c>
      <c r="B94" s="6"/>
      <c r="C94" s="6"/>
      <c r="D94" s="32" t="s">
        <v>111</v>
      </c>
      <c r="E94" s="6"/>
      <c r="F94" s="32" t="s">
        <v>112</v>
      </c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8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8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" customHeight="1" x14ac:dyDescent="0.2">
      <c r="A809" s="7"/>
      <c r="B809" s="7"/>
      <c r="C809" s="7"/>
      <c r="D809" s="7"/>
      <c r="E809" s="7"/>
      <c r="F809" s="31"/>
      <c r="G809" s="31"/>
      <c r="H809" s="7"/>
    </row>
  </sheetData>
  <mergeCells count="19">
    <mergeCell ref="A31:H31"/>
    <mergeCell ref="A32:H32"/>
    <mergeCell ref="A35:H35"/>
    <mergeCell ref="A76:H76"/>
    <mergeCell ref="A71:H71"/>
    <mergeCell ref="A72:H72"/>
    <mergeCell ref="A73:H73"/>
    <mergeCell ref="A74:H74"/>
    <mergeCell ref="A75:H75"/>
    <mergeCell ref="A8:H8"/>
    <mergeCell ref="A27:H27"/>
    <mergeCell ref="A28:H28"/>
    <mergeCell ref="A29:H29"/>
    <mergeCell ref="A30:H30"/>
    <mergeCell ref="A3:H3"/>
    <mergeCell ref="A4:H4"/>
    <mergeCell ref="A5:H5"/>
    <mergeCell ref="A6:H6"/>
    <mergeCell ref="A7:H7"/>
  </mergeCells>
  <dataValidations count="3">
    <dataValidation type="list" allowBlank="1" showInputMessage="1" showErrorMessage="1" sqref="E36:E37" xr:uid="{00000000-0002-0000-0700-000000000000}">
      <formula1>"Implemented, Ongoing, For Implementation, Rescheduled, Deferred, Cancelled"</formula1>
    </dataValidation>
    <dataValidation type="list" allowBlank="1" showInputMessage="1" showErrorMessage="1" sqref="G11:G16" xr:uid="{00000000-0002-0000-0700-000001000000}">
      <formula1>"MET, Partially MET,UNMET,Not Yet Due, Overdue"</formula1>
    </dataValidation>
    <dataValidation type="list" allowBlank="1" showInputMessage="1" showErrorMessage="1" sqref="C79:H84" xr:uid="{00000000-0002-0000-07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CONSOLIDATED_PERFORMANCE</vt:lpstr>
      <vt:lpstr>REF_CICS</vt:lpstr>
      <vt:lpstr>REF_CHS</vt:lpstr>
      <vt:lpstr>REF_CTE</vt:lpstr>
      <vt:lpstr>REF_CABEIHM</vt:lpstr>
      <vt:lpstr>REF_CAS</vt:lpstr>
      <vt:lpstr>REF_CCJE</vt:lpstr>
      <vt:lpstr>REF_LAB_SCHOOL</vt:lpstr>
      <vt:lpstr>CONSOLIDATED_PERFORMANCE!Print_Area</vt:lpstr>
      <vt:lpstr>REF_CABEIHM!Print_Area</vt:lpstr>
      <vt:lpstr>REF_CAS!Print_Area</vt:lpstr>
      <vt:lpstr>REF_CCJE!Print_Area</vt:lpstr>
      <vt:lpstr>REF_CHS!Print_Area</vt:lpstr>
      <vt:lpstr>REF_CICS!Print_Area</vt:lpstr>
      <vt:lpstr>REF_CTE!Print_Area</vt:lpstr>
      <vt:lpstr>REF_LAB_SCHOOL!Print_Area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2026-09-28T15:42:58Z</cp:lastPrinted>
  <dcterms:created xsi:type="dcterms:W3CDTF">2026-09-21T13:26:00Z</dcterms:created>
  <dcterms:modified xsi:type="dcterms:W3CDTF">2026-09-29T12:22:22Z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E6E98BF7520E4EF987C6A967AC2271B6_12</vt:lpwstr>
  </property>
</Properties>
</file>